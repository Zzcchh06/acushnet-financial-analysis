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821"/>
  <workbookPr defaultThemeVersion="166925"/>
  <mc:AlternateContent xmlns:mc="http://schemas.openxmlformats.org/markup-compatibility/2006">
    <mc:Choice Requires="x15">
      <x15ac:absPath xmlns:x15ac="http://schemas.microsoft.com/office/spreadsheetml/2010/11/ac" url="/Users/zach/Downloads/Transcript:Resume/"/>
    </mc:Choice>
  </mc:AlternateContent>
  <xr:revisionPtr revIDLastSave="0" documentId="8_{8F34A1ED-B017-1B47-A242-A6A521B4FFF2}" xr6:coauthVersionLast="47" xr6:coauthVersionMax="47" xr10:uidLastSave="{00000000-0000-0000-0000-000000000000}"/>
  <bookViews>
    <workbookView xWindow="0" yWindow="660" windowWidth="30240" windowHeight="18980" activeTab="5" xr2:uid="{00000000-000D-0000-FFFF-FFFF00000000}"/>
  </bookViews>
  <sheets>
    <sheet name="Raw Financials" sheetId="1" r:id="rId1"/>
    <sheet name="Income Statement" sheetId="2" r:id="rId2"/>
    <sheet name="Balance Sheet" sheetId="3" r:id="rId3"/>
    <sheet name="Cash Flow" sheetId="4" r:id="rId4"/>
    <sheet name="Ratios &amp; Analysis" sheetId="5" r:id="rId5"/>
    <sheet name="Dashboard" sheetId="6" r:id="rId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E15" i="6" l="1"/>
  <c r="B23" i="6"/>
  <c r="C23" i="6"/>
  <c r="B24" i="6"/>
  <c r="C24" i="6"/>
  <c r="B25" i="6"/>
  <c r="C25" i="6"/>
  <c r="B14" i="6"/>
  <c r="E6" i="6"/>
  <c r="C27" i="6"/>
  <c r="C26" i="6"/>
  <c r="C22" i="6"/>
  <c r="B27" i="6"/>
  <c r="B26" i="6"/>
  <c r="B22" i="6"/>
  <c r="E17" i="6"/>
  <c r="E16" i="6"/>
  <c r="E14" i="6"/>
  <c r="B18" i="6"/>
  <c r="B17" i="6"/>
  <c r="B16" i="6"/>
  <c r="B15" i="6"/>
  <c r="E9" i="6"/>
  <c r="E8" i="6"/>
  <c r="E7" i="6"/>
  <c r="B10" i="6"/>
  <c r="B9" i="6"/>
  <c r="B8" i="6"/>
  <c r="B7" i="6"/>
  <c r="B6" i="6"/>
  <c r="B45" i="5"/>
  <c r="B44" i="5"/>
  <c r="B43" i="5"/>
  <c r="B37" i="5"/>
  <c r="B36" i="5"/>
  <c r="B30" i="5"/>
  <c r="B29" i="5"/>
  <c r="B28" i="5"/>
  <c r="E22" i="5"/>
  <c r="E21" i="5"/>
  <c r="C22" i="5"/>
  <c r="B22" i="5"/>
  <c r="B21" i="5"/>
  <c r="C21" i="5"/>
  <c r="E15" i="5"/>
  <c r="E14" i="5"/>
  <c r="C15" i="5"/>
  <c r="B15" i="5"/>
  <c r="C14" i="5"/>
  <c r="B14" i="5"/>
  <c r="E7" i="5"/>
  <c r="E8" i="5"/>
  <c r="E6" i="5"/>
  <c r="C8" i="5"/>
  <c r="D8" i="5"/>
  <c r="B8" i="5"/>
  <c r="C7" i="5"/>
  <c r="D7" i="5"/>
  <c r="B7" i="5"/>
  <c r="B6" i="5"/>
  <c r="C6" i="5"/>
  <c r="D6" i="5"/>
  <c r="D4" i="4"/>
  <c r="C37" i="4"/>
  <c r="D37" i="4"/>
  <c r="B37" i="4"/>
  <c r="C25" i="4"/>
  <c r="D25" i="4"/>
  <c r="B25" i="4"/>
  <c r="D20" i="4"/>
  <c r="D39" i="4" s="1"/>
  <c r="D41" i="4" s="1"/>
  <c r="C20" i="4"/>
  <c r="C39" i="4" s="1"/>
  <c r="C41" i="4" s="1"/>
  <c r="B20" i="4"/>
  <c r="B39" i="4" s="1"/>
  <c r="B41" i="4" s="1"/>
  <c r="B5" i="4"/>
  <c r="C5" i="4"/>
  <c r="D5" i="4"/>
  <c r="B6" i="4"/>
  <c r="C6" i="4"/>
  <c r="D6" i="4"/>
  <c r="B7" i="4"/>
  <c r="C7" i="4"/>
  <c r="D7" i="4"/>
  <c r="B8" i="4"/>
  <c r="C8" i="4"/>
  <c r="D8" i="4"/>
  <c r="B9" i="4"/>
  <c r="C9" i="4"/>
  <c r="D9" i="4"/>
  <c r="B10" i="4"/>
  <c r="C10" i="4"/>
  <c r="D10" i="4"/>
  <c r="B11" i="4"/>
  <c r="C11" i="4"/>
  <c r="D11" i="4"/>
  <c r="B12" i="4"/>
  <c r="C12" i="4"/>
  <c r="D12" i="4"/>
  <c r="B13" i="4"/>
  <c r="C13" i="4"/>
  <c r="D13" i="4"/>
  <c r="B15" i="4"/>
  <c r="C15" i="4"/>
  <c r="D15" i="4"/>
  <c r="B16" i="4"/>
  <c r="C16" i="4"/>
  <c r="D16" i="4"/>
  <c r="B17" i="4"/>
  <c r="C17" i="4"/>
  <c r="D17" i="4"/>
  <c r="B18" i="4"/>
  <c r="C18" i="4"/>
  <c r="D18" i="4"/>
  <c r="B19" i="4"/>
  <c r="C19" i="4"/>
  <c r="D19" i="4"/>
  <c r="B22" i="4"/>
  <c r="C22" i="4"/>
  <c r="D22" i="4"/>
  <c r="B23" i="4"/>
  <c r="C23" i="4"/>
  <c r="D23" i="4"/>
  <c r="B24" i="4"/>
  <c r="C24" i="4"/>
  <c r="D24" i="4"/>
  <c r="B27" i="4"/>
  <c r="C27" i="4"/>
  <c r="D27" i="4"/>
  <c r="B28" i="4"/>
  <c r="C28" i="4"/>
  <c r="D28" i="4"/>
  <c r="B29" i="4"/>
  <c r="C29" i="4"/>
  <c r="D29" i="4"/>
  <c r="B30" i="4"/>
  <c r="C30" i="4"/>
  <c r="D30" i="4"/>
  <c r="B31" i="4"/>
  <c r="C31" i="4"/>
  <c r="D31" i="4"/>
  <c r="B32" i="4"/>
  <c r="C32" i="4"/>
  <c r="D32" i="4"/>
  <c r="B33" i="4"/>
  <c r="C33" i="4"/>
  <c r="D33" i="4"/>
  <c r="B34" i="4"/>
  <c r="C34" i="4"/>
  <c r="D34" i="4"/>
  <c r="B35" i="4"/>
  <c r="C35" i="4"/>
  <c r="D35" i="4"/>
  <c r="B36" i="4"/>
  <c r="C36" i="4"/>
  <c r="D36" i="4"/>
  <c r="B38" i="4"/>
  <c r="C38" i="4"/>
  <c r="D38" i="4"/>
  <c r="B40" i="4"/>
  <c r="C40" i="4"/>
  <c r="D40" i="4"/>
  <c r="C4" i="4"/>
  <c r="B4" i="4"/>
  <c r="B6" i="2"/>
  <c r="C6" i="2"/>
  <c r="D6" i="2"/>
  <c r="C14" i="2"/>
  <c r="D14" i="2"/>
  <c r="C15" i="2"/>
  <c r="D15" i="2"/>
  <c r="C16" i="2"/>
  <c r="D16" i="2"/>
  <c r="C17" i="2"/>
  <c r="D17" i="2"/>
  <c r="B14" i="2"/>
  <c r="B15" i="2"/>
  <c r="B16" i="2"/>
  <c r="B17" i="2"/>
  <c r="B12" i="2"/>
  <c r="C12" i="2"/>
  <c r="D12" i="2"/>
  <c r="C13" i="2"/>
  <c r="D13" i="2"/>
  <c r="C41" i="3"/>
  <c r="C40" i="3"/>
  <c r="C39" i="3"/>
  <c r="B39" i="3"/>
  <c r="C38" i="3"/>
  <c r="B36" i="3"/>
  <c r="B38" i="3" s="1"/>
  <c r="B40" i="3" s="1"/>
  <c r="B41" i="3" s="1"/>
  <c r="C36" i="3"/>
  <c r="B37" i="3"/>
  <c r="C37" i="3"/>
  <c r="C35" i="3"/>
  <c r="B34" i="3"/>
  <c r="C34" i="3"/>
  <c r="B35" i="3"/>
  <c r="C33" i="3"/>
  <c r="B33" i="3"/>
  <c r="C24" i="3"/>
  <c r="C25" i="3"/>
  <c r="C26" i="3"/>
  <c r="C27" i="3"/>
  <c r="C30" i="3"/>
  <c r="B25" i="3"/>
  <c r="B26" i="3"/>
  <c r="B27" i="3"/>
  <c r="B30" i="3"/>
  <c r="B24" i="3"/>
  <c r="C16" i="3"/>
  <c r="B17" i="3"/>
  <c r="B22" i="3" s="1"/>
  <c r="B28" i="3" s="1"/>
  <c r="C17" i="3"/>
  <c r="B18" i="3"/>
  <c r="C18" i="3"/>
  <c r="B19" i="3"/>
  <c r="C19" i="3"/>
  <c r="B20" i="3"/>
  <c r="C20" i="3"/>
  <c r="B21" i="3"/>
  <c r="C21" i="3"/>
  <c r="B16" i="3"/>
  <c r="C9" i="3"/>
  <c r="C10" i="3"/>
  <c r="C11" i="3"/>
  <c r="C12" i="3"/>
  <c r="C13" i="3"/>
  <c r="B10" i="3"/>
  <c r="B11" i="3"/>
  <c r="B12" i="3"/>
  <c r="B13" i="3"/>
  <c r="B9" i="3"/>
  <c r="C7" i="3"/>
  <c r="B7" i="3"/>
  <c r="C6" i="3"/>
  <c r="B6" i="3"/>
  <c r="B5" i="3"/>
  <c r="C5" i="3"/>
  <c r="B4" i="3"/>
  <c r="B8" i="3" s="1"/>
  <c r="B14" i="3" s="1"/>
  <c r="C4" i="3"/>
  <c r="C8" i="3" s="1"/>
  <c r="C14" i="3" s="1"/>
  <c r="B60" i="1"/>
  <c r="C60" i="1"/>
  <c r="B13" i="2"/>
  <c r="C11" i="2"/>
  <c r="D11" i="2"/>
  <c r="B11" i="2"/>
  <c r="C9" i="2"/>
  <c r="D9" i="2"/>
  <c r="B9" i="2"/>
  <c r="C8" i="2"/>
  <c r="D8" i="2"/>
  <c r="B8" i="2"/>
  <c r="C7" i="2"/>
  <c r="D7" i="2"/>
  <c r="B7" i="2"/>
  <c r="C5" i="2"/>
  <c r="D5" i="2"/>
  <c r="B5" i="2"/>
  <c r="C4" i="2"/>
  <c r="D4" i="2"/>
  <c r="B4" i="2"/>
  <c r="C6" i="1"/>
  <c r="C10" i="1" s="1"/>
  <c r="C14" i="1" s="1"/>
  <c r="C16" i="1" s="1"/>
  <c r="D6" i="1"/>
  <c r="D10" i="1" s="1"/>
  <c r="D14" i="1" s="1"/>
  <c r="D16" i="1" s="1"/>
  <c r="B6" i="1"/>
  <c r="B10" i="1" s="1"/>
  <c r="B14" i="1" s="1"/>
  <c r="B16" i="1" s="1"/>
  <c r="C10" i="2" l="1"/>
  <c r="B10" i="2"/>
  <c r="D10" i="2"/>
  <c r="B18" i="2"/>
  <c r="C18" i="2"/>
  <c r="D18" i="2"/>
  <c r="C22" i="3"/>
  <c r="C28" i="3" s="1"/>
</calcChain>
</file>

<file path=xl/sharedStrings.xml><?xml version="1.0" encoding="utf-8"?>
<sst xmlns="http://schemas.openxmlformats.org/spreadsheetml/2006/main" count="283" uniqueCount="158">
  <si>
    <t>Fiscal Year</t>
  </si>
  <si>
    <t>Income Statement</t>
  </si>
  <si>
    <t>Gross Profit</t>
  </si>
  <si>
    <t>Income Tax Expense</t>
  </si>
  <si>
    <t>Net Income</t>
  </si>
  <si>
    <t>Net Sales</t>
  </si>
  <si>
    <t>Cost of Goods Sold</t>
  </si>
  <si>
    <t>Selling, General and Administrative</t>
  </si>
  <si>
    <t>Research and Development</t>
  </si>
  <si>
    <t>Intangible Amortization</t>
  </si>
  <si>
    <t>Income From Operations</t>
  </si>
  <si>
    <t>Interest Expense, Net</t>
  </si>
  <si>
    <t>Loss on Debt Extinguishment</t>
  </si>
  <si>
    <t>Other (Income) Expense, Net</t>
  </si>
  <si>
    <t>Income Before Income Taxes</t>
  </si>
  <si>
    <t>Net Loss (Income) Attributable to Noncontrolling Interests</t>
  </si>
  <si>
    <t>Net Income Attriutable to Acushnet Holdings Corp.</t>
  </si>
  <si>
    <t>Gross Profit Margin</t>
  </si>
  <si>
    <t>Observation</t>
  </si>
  <si>
    <t>Selling, General and administrative</t>
  </si>
  <si>
    <t>Income from Operations</t>
  </si>
  <si>
    <t>Net Loss (Income) Attributable to Noncontrolling Interest</t>
  </si>
  <si>
    <t>Net Income Attributable to Acushnet Holdings Corp.</t>
  </si>
  <si>
    <t>Balance Sheet</t>
  </si>
  <si>
    <t>Cash, cash equivalents and restricted cash</t>
  </si>
  <si>
    <t>Accounts Receivable, Net</t>
  </si>
  <si>
    <t>Inventories</t>
  </si>
  <si>
    <t>Prepaid and other assets</t>
  </si>
  <si>
    <t>Total current assets</t>
  </si>
  <si>
    <t>Property, plant and equipment, net</t>
  </si>
  <si>
    <t>Goodwill</t>
  </si>
  <si>
    <t>Intangible assets, net</t>
  </si>
  <si>
    <t>Deferred income taxes</t>
  </si>
  <si>
    <t>Total assets</t>
  </si>
  <si>
    <t>Other assets</t>
  </si>
  <si>
    <t>Assets</t>
  </si>
  <si>
    <t>Liabilities, Redeemable Noncontrolling Interests and Shareholders' Equity</t>
  </si>
  <si>
    <t>Short-term debt</t>
  </si>
  <si>
    <t>Current portion of long-term debt</t>
  </si>
  <si>
    <t>Accounts payable</t>
  </si>
  <si>
    <t>Accrued taxes</t>
  </si>
  <si>
    <t>Accrued compensation and benefits</t>
  </si>
  <si>
    <t>Accrued expenses and other liabilities</t>
  </si>
  <si>
    <t>Total current liabilities</t>
  </si>
  <si>
    <t>Long-term debt</t>
  </si>
  <si>
    <t>Accrued pension and other postretirement benefits</t>
  </si>
  <si>
    <t>Other noncurrent liabilites</t>
  </si>
  <si>
    <t>Total Liabilites</t>
  </si>
  <si>
    <t>Redeemable noncontrolling interests</t>
  </si>
  <si>
    <t>Shareholders' Equity</t>
  </si>
  <si>
    <t>Common stock</t>
  </si>
  <si>
    <t>Additional paid-in capital</t>
  </si>
  <si>
    <t>Accumulated other comprehensive loss,net of tax</t>
  </si>
  <si>
    <t>Retained earnings</t>
  </si>
  <si>
    <t>Treasury stock, at cost</t>
  </si>
  <si>
    <t>Total equity attributable to Acushnet Holdings Corp.</t>
  </si>
  <si>
    <t>Noncontrolling interests</t>
  </si>
  <si>
    <t>Total Shareholders' equity</t>
  </si>
  <si>
    <t>Total Liabilites, Redeemable noncontrolling interests and shareholders' equity</t>
  </si>
  <si>
    <t>Balance check</t>
  </si>
  <si>
    <t>Cash Flow Statements</t>
  </si>
  <si>
    <t>Cash Flows From Operating Activities</t>
  </si>
  <si>
    <t>Depreciation and Amortization</t>
  </si>
  <si>
    <t>Unrealized Foreign exchange (gain) loss</t>
  </si>
  <si>
    <t>Amortization of debt issuance costs</t>
  </si>
  <si>
    <t>Share-Based compensation</t>
  </si>
  <si>
    <t>Loss on disposals of property, plant, and equipment</t>
  </si>
  <si>
    <t>Gain on deconsolidation of VIE (Note 8)</t>
  </si>
  <si>
    <t>Loss on equity method investment (Note 8)</t>
  </si>
  <si>
    <t>Loss on debt extinguishment (Note 11)</t>
  </si>
  <si>
    <t>Deffered income taxes</t>
  </si>
  <si>
    <t>Changes in operating assets and liabilities</t>
  </si>
  <si>
    <t>Accounts receivable</t>
  </si>
  <si>
    <t>Accounts Payable</t>
  </si>
  <si>
    <t>Accrued Taxes</t>
  </si>
  <si>
    <t>Other assets and liabilites</t>
  </si>
  <si>
    <t>Cash Flow provided by operating activities</t>
  </si>
  <si>
    <t>Cash Flows from investing activites</t>
  </si>
  <si>
    <t>Additions to property, plant and equipment</t>
  </si>
  <si>
    <t>Additions to intangible assets (Note 9)</t>
  </si>
  <si>
    <t>Other, Net</t>
  </si>
  <si>
    <t>Cash Flows used in investing activies</t>
  </si>
  <si>
    <t>Cash Flows from financing activities</t>
  </si>
  <si>
    <t>Proceeds from credit facilities (Note 11)</t>
  </si>
  <si>
    <t>Repayments of credit facilities (Note 11)</t>
  </si>
  <si>
    <t>Proceeds from senior unsecured notes (Note 11)</t>
  </si>
  <si>
    <t>Repayments of senior unsexcured notes (Note 11)</t>
  </si>
  <si>
    <t>Payment of redemption premium (Note 11)</t>
  </si>
  <si>
    <t>Payment of debt issuance costs</t>
  </si>
  <si>
    <t>Purchases of common stock</t>
  </si>
  <si>
    <t>Dividends paid on common stock</t>
  </si>
  <si>
    <t>Payment of employee restricted stock tax withholding</t>
  </si>
  <si>
    <t>Cash flows used in financing activites</t>
  </si>
  <si>
    <t>Effect of foreign exchange rates</t>
  </si>
  <si>
    <t>Net (decrease) increase in cash</t>
  </si>
  <si>
    <t>Beginning of Year</t>
  </si>
  <si>
    <t>End of Year</t>
  </si>
  <si>
    <t>Acushnet Financial Analysis</t>
  </si>
  <si>
    <t>Profitability</t>
  </si>
  <si>
    <t>Operating Margin</t>
  </si>
  <si>
    <t>Net Profit Margin</t>
  </si>
  <si>
    <t>2025 vs. 2024</t>
  </si>
  <si>
    <t>Key Observation</t>
  </si>
  <si>
    <t>Acushnet's Revenue increased from 2024 to 2025, while gross, operating, and net profit all declined slightly.</t>
  </si>
  <si>
    <t>Liquidity</t>
  </si>
  <si>
    <t>Current Ratio</t>
  </si>
  <si>
    <t>Quick Ratio</t>
  </si>
  <si>
    <t>Acushnet's liquidity improved in 2025, with the current ratio increasing from approximately 2.06 to 2.38 and the quick ratio increasing from approximately 0.84 to 0.97</t>
  </si>
  <si>
    <t>Leverage</t>
  </si>
  <si>
    <t>Liabilities-to-Assets Ratio</t>
  </si>
  <si>
    <t>Liabilities-to-Equity Ratio</t>
  </si>
  <si>
    <t>Acushnet's leverage increased from 2024 to 2025, with both its liabilities-to-assets and liabilities-to-equity ratios increasing</t>
  </si>
  <si>
    <t>Efficiancy</t>
  </si>
  <si>
    <t>Inventory Turnover</t>
  </si>
  <si>
    <t>Receivables Turnover</t>
  </si>
  <si>
    <t>Total Asset Turnover</t>
  </si>
  <si>
    <t>Acushnet generated $1.13 in sales for every $1.00 of average assets in 2025. Receivables turnover was relatively strong at 11.75x, while inventory turned over 2.26x during the year.</t>
  </si>
  <si>
    <t>Return Ratios</t>
  </si>
  <si>
    <t>Return on Assets (ROA)</t>
  </si>
  <si>
    <t>Return on Equity (ROE)</t>
  </si>
  <si>
    <t>Acushnet generated and 8.28% return on its average assets and a 24.35% return on average equity in 2025. The higher ROE indicates that the company generated a substantially stronger return for shareholders than its overall return on assets.</t>
  </si>
  <si>
    <t>Cash Flow Analysis</t>
  </si>
  <si>
    <t>Operating Cash Flow Margin</t>
  </si>
  <si>
    <t>Free Cash Flow</t>
  </si>
  <si>
    <t>Free Cash Flow Margin</t>
  </si>
  <si>
    <t>Acushnet generated $194.4 Million of operating cash flow and $120.0 million of free cash flow in 2025. Free cash flow represented 4.69% of net sales after capital expenditures.</t>
  </si>
  <si>
    <t>Overall Financial Analysis</t>
  </si>
  <si>
    <t>Acushnet's sales increased from 2024 to 2025, but profitability margin decreased from 48.34% to 47.73%, operating margin declined from 12.38% to 11.70%, and net profit margin declined from 8.21% to 7.32%. This indicates that Acushnnet generated more sales but retained slightly less profit from those sales.</t>
  </si>
  <si>
    <t>Acushnet's liquidity improved in 2025. The current ratio increased from 2.06 to 2.38, while the quick ratio increased from 0.84 to 0.97. This suggests the company had a stronger ability to meet its short-term obligations, although quick assets remained slightly below current liabilites</t>
  </si>
  <si>
    <t xml:space="preserve">Leverage </t>
  </si>
  <si>
    <t>Acushnet's leverage increased in 2025. Liabilities-to-assets increased from 63.44% to 66.48%, while liabilities-to-equity increased from 1.74x to 1.99x. This indicates that a greater portion of the company's assets was financed through liabilities, increasing financial leverage</t>
  </si>
  <si>
    <t>Efficiency</t>
  </si>
  <si>
    <t>In 2025, Acushnet generated 11.75x receivables turnover, 2.26x inventory turnover, and 1.13x total asset turnover. These measures provide insight into how effectively the company converted its receivables, inventory, and asset base into sales.</t>
  </si>
  <si>
    <t xml:space="preserve">Returns </t>
  </si>
  <si>
    <t xml:space="preserve">Acushnet generated an 8.28% return on average assets and 24.35% return on average equity in 2025. The higher ROE reflects the stronger return generated for shareholders relative to the company's overall asset base. </t>
  </si>
  <si>
    <t>Cash Flow</t>
  </si>
  <si>
    <t>Acushnet generated $194.4 million. In operating cash flow and $120.0 million in free cash flow during 2025. Operating cash flow represented 7.60% of sales, while free cash flow represented 4.69% of sales after capital expenditures</t>
  </si>
  <si>
    <t>Acushnet Holdings Corp.</t>
  </si>
  <si>
    <t>2025 Financial Statement and Ratio Analysis</t>
  </si>
  <si>
    <t>Based on 2025 Form 10-K | Excel Financial Analysis Project</t>
  </si>
  <si>
    <t>Key Financial Metrics</t>
  </si>
  <si>
    <t>Liquidity &amp; Leverage</t>
  </si>
  <si>
    <t>Liabilities-to-Assets</t>
  </si>
  <si>
    <t>Liabilities-to-Equity</t>
  </si>
  <si>
    <t>Efficiency &amp; Returns</t>
  </si>
  <si>
    <t>Return on Assets</t>
  </si>
  <si>
    <t>Return on Equity</t>
  </si>
  <si>
    <t>Operating Cash Flow</t>
  </si>
  <si>
    <t>2024 -&gt; 2025 Key Trends</t>
  </si>
  <si>
    <t>Key Findings</t>
  </si>
  <si>
    <t>Sales increased, but profitability margins declined</t>
  </si>
  <si>
    <t>liquidity improved while leverage increased</t>
  </si>
  <si>
    <t>Operating Cash Flow and Free Cash Flow remained positive in 2025</t>
  </si>
  <si>
    <t>2025 Highlights</t>
  </si>
  <si>
    <t>Net Sales: $2.56B</t>
  </si>
  <si>
    <t>Operating Cash Flow: $194.4M</t>
  </si>
  <si>
    <t>Free Cash Flow: $120.0M</t>
  </si>
  <si>
    <t>ROE: 24.35%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</si>
</sst>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4" formatCode="_(&quot;$&quot;* #,##0.00_);_(&quot;$&quot;* \(#,##0.00\);_(&quot;$&quot;* &quot;-&quot;??_);_(@_)"/>
    <numFmt numFmtId="43" formatCode="_(* #,##0.00_);_(* \(#,##0.00\);_(* &quot;-&quot;??_);_(@_)"/>
    <numFmt numFmtId="164" formatCode="_(&quot;$&quot;* #,##0_);_(&quot;$&quot;* \(#,##0\);_(&quot;$&quot;* &quot;-&quot;??_);_(@_)"/>
    <numFmt numFmtId="165" formatCode="_([$$-409]* #,##0_);_([$$-409]* \(#,##0\);_([$$-409]* &quot;-&quot;??_);_(@_)"/>
    <numFmt numFmtId="166" formatCode="_(* #,##0_);_(* \(#,##0\);_(* &quot;-&quot;??_);_(@_)"/>
    <numFmt numFmtId="167" formatCode="&quot;$&quot;#,##0.0,&quot;M&quot;"/>
    <numFmt numFmtId="168" formatCode="&quot;$&quot;#,##0.0,&quot;B&quot;"/>
    <numFmt numFmtId="169" formatCode="0.00\x"/>
  </numFmts>
  <fonts count="6" x14ac:knownFonts="1">
    <font>
      <sz val="11"/>
      <color theme="1"/>
      <name val="Calibri"/>
      <family val="2"/>
      <scheme val="minor"/>
    </font>
    <font>
      <sz val="11"/>
      <color theme="1"/>
      <name val="Calibri"/>
      <family val="2"/>
      <scheme val="minor"/>
    </font>
    <font>
      <b/>
      <sz val="11"/>
      <color theme="1"/>
      <name val="Calibri"/>
      <family val="2"/>
      <scheme val="minor"/>
    </font>
    <font>
      <b/>
      <sz val="20"/>
      <color theme="1"/>
      <name val="Calibri"/>
      <family val="2"/>
      <scheme val="minor"/>
    </font>
    <font>
      <b/>
      <sz val="14"/>
      <color theme="1"/>
      <name val="Calibri"/>
      <family val="2"/>
      <scheme val="minor"/>
    </font>
    <font>
      <b/>
      <sz val="14"/>
      <color theme="1"/>
      <name val="Calibri (Body)"/>
    </font>
  </fonts>
  <fills count="2">
    <fill>
      <patternFill patternType="none"/>
    </fill>
    <fill>
      <patternFill patternType="gray125"/>
    </fill>
  </fills>
  <borders count="9">
    <border>
      <left/>
      <right/>
      <top/>
      <bottom/>
      <diagonal/>
    </border>
    <border>
      <left/>
      <right/>
      <top/>
      <bottom style="thin">
        <color indexed="64"/>
      </bottom>
      <diagonal/>
    </border>
    <border>
      <left/>
      <right/>
      <top style="thin">
        <color indexed="64"/>
      </top>
      <bottom style="thin">
        <color indexed="64"/>
      </bottom>
      <diagonal/>
    </border>
    <border>
      <left/>
      <right/>
      <top style="thin">
        <color indexed="64"/>
      </top>
      <bottom/>
      <diagonal/>
    </border>
    <border>
      <left/>
      <right/>
      <top/>
      <bottom style="double">
        <color indexed="64"/>
      </bottom>
      <diagonal/>
    </border>
    <border>
      <left/>
      <right/>
      <top style="thin">
        <color indexed="64"/>
      </top>
      <bottom style="double">
        <color indexed="64"/>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diagonal/>
    </border>
  </borders>
  <cellStyleXfs count="4">
    <xf numFmtId="0" fontId="0" fillId="0" borderId="0"/>
    <xf numFmtId="43" fontId="1" fillId="0" borderId="0" applyFont="0" applyFill="0" applyBorder="0" applyAlignment="0" applyProtection="0"/>
    <xf numFmtId="44" fontId="1" fillId="0" borderId="0" applyFont="0" applyFill="0" applyBorder="0" applyAlignment="0" applyProtection="0"/>
    <xf numFmtId="9" fontId="1" fillId="0" borderId="0" applyFont="0" applyFill="0" applyBorder="0" applyAlignment="0" applyProtection="0"/>
  </cellStyleXfs>
  <cellXfs count="61">
    <xf numFmtId="0" fontId="0" fillId="0" borderId="0" xfId="0"/>
    <xf numFmtId="0" fontId="2" fillId="0" borderId="0" xfId="0" applyFont="1"/>
    <xf numFmtId="0" fontId="2" fillId="0" borderId="0" xfId="0" applyFont="1" applyAlignment="1">
      <alignment wrapText="1"/>
    </xf>
    <xf numFmtId="0" fontId="0" fillId="0" borderId="0" xfId="0" applyAlignment="1">
      <alignment wrapText="1"/>
    </xf>
    <xf numFmtId="3" fontId="0" fillId="0" borderId="0" xfId="0" applyNumberFormat="1"/>
    <xf numFmtId="10" fontId="0" fillId="0" borderId="0" xfId="0" applyNumberFormat="1"/>
    <xf numFmtId="164" fontId="0" fillId="0" borderId="0" xfId="2" applyNumberFormat="1" applyFont="1"/>
    <xf numFmtId="165" fontId="0" fillId="0" borderId="0" xfId="2" applyNumberFormat="1" applyFont="1" applyAlignment="1"/>
    <xf numFmtId="165" fontId="0" fillId="0" borderId="0" xfId="2" applyNumberFormat="1" applyFont="1"/>
    <xf numFmtId="2" fontId="0" fillId="0" borderId="0" xfId="0" applyNumberFormat="1"/>
    <xf numFmtId="164" fontId="0" fillId="0" borderId="0" xfId="0" applyNumberFormat="1"/>
    <xf numFmtId="166" fontId="0" fillId="0" borderId="0" xfId="1" applyNumberFormat="1" applyFont="1"/>
    <xf numFmtId="3" fontId="2" fillId="0" borderId="0" xfId="0" applyNumberFormat="1" applyFont="1"/>
    <xf numFmtId="166" fontId="2" fillId="0" borderId="0" xfId="1" applyNumberFormat="1" applyFont="1"/>
    <xf numFmtId="0" fontId="2" fillId="0" borderId="1" xfId="0" applyFont="1" applyBorder="1" applyAlignment="1">
      <alignment wrapText="1"/>
    </xf>
    <xf numFmtId="0" fontId="0" fillId="0" borderId="1" xfId="0" applyBorder="1"/>
    <xf numFmtId="3" fontId="2" fillId="0" borderId="1" xfId="0" applyNumberFormat="1" applyFont="1" applyBorder="1"/>
    <xf numFmtId="0" fontId="2" fillId="0" borderId="2" xfId="0" applyFont="1" applyBorder="1" applyAlignment="1">
      <alignment wrapText="1"/>
    </xf>
    <xf numFmtId="0" fontId="2" fillId="0" borderId="3" xfId="0" applyFont="1" applyBorder="1" applyAlignment="1">
      <alignment wrapText="1"/>
    </xf>
    <xf numFmtId="3" fontId="2" fillId="0" borderId="3" xfId="0" applyNumberFormat="1" applyFont="1" applyBorder="1"/>
    <xf numFmtId="166" fontId="2" fillId="0" borderId="3" xfId="1" applyNumberFormat="1" applyFont="1" applyBorder="1"/>
    <xf numFmtId="0" fontId="2" fillId="0" borderId="4" xfId="0" applyFont="1" applyBorder="1" applyAlignment="1">
      <alignment wrapText="1"/>
    </xf>
    <xf numFmtId="164" fontId="2" fillId="0" borderId="4" xfId="0" applyNumberFormat="1" applyFont="1" applyBorder="1"/>
    <xf numFmtId="164" fontId="2" fillId="0" borderId="3" xfId="0" applyNumberFormat="1" applyFont="1" applyBorder="1"/>
    <xf numFmtId="166" fontId="2" fillId="0" borderId="3" xfId="0" applyNumberFormat="1" applyFont="1" applyBorder="1"/>
    <xf numFmtId="0" fontId="2" fillId="0" borderId="1" xfId="0" applyFont="1" applyBorder="1"/>
    <xf numFmtId="0" fontId="0" fillId="0" borderId="4" xfId="0" applyBorder="1" applyAlignment="1">
      <alignment wrapText="1"/>
    </xf>
    <xf numFmtId="164" fontId="0" fillId="0" borderId="4" xfId="0" applyNumberFormat="1" applyBorder="1"/>
    <xf numFmtId="0" fontId="0" fillId="0" borderId="1" xfId="0" applyBorder="1" applyAlignment="1">
      <alignment wrapText="1"/>
    </xf>
    <xf numFmtId="164" fontId="0" fillId="0" borderId="1" xfId="2" applyNumberFormat="1" applyFont="1" applyBorder="1"/>
    <xf numFmtId="3" fontId="0" fillId="0" borderId="1" xfId="0" applyNumberFormat="1" applyBorder="1"/>
    <xf numFmtId="0" fontId="0" fillId="0" borderId="2" xfId="0" applyBorder="1" applyAlignment="1">
      <alignment wrapText="1"/>
    </xf>
    <xf numFmtId="3" fontId="0" fillId="0" borderId="2" xfId="0" applyNumberFormat="1" applyBorder="1"/>
    <xf numFmtId="0" fontId="2" fillId="0" borderId="2" xfId="0" applyFont="1" applyBorder="1"/>
    <xf numFmtId="164" fontId="0" fillId="0" borderId="0" xfId="0" applyNumberFormat="1" applyAlignment="1">
      <alignment wrapText="1"/>
    </xf>
    <xf numFmtId="164" fontId="0" fillId="0" borderId="2" xfId="0" applyNumberFormat="1" applyBorder="1"/>
    <xf numFmtId="166" fontId="0" fillId="0" borderId="2" xfId="1" applyNumberFormat="1" applyFont="1" applyBorder="1"/>
    <xf numFmtId="166" fontId="0" fillId="0" borderId="0" xfId="1" applyNumberFormat="1" applyFont="1" applyFill="1" applyBorder="1"/>
    <xf numFmtId="166" fontId="0" fillId="0" borderId="2" xfId="1" applyNumberFormat="1" applyFont="1" applyFill="1" applyBorder="1"/>
    <xf numFmtId="0" fontId="0" fillId="0" borderId="5" xfId="0" applyBorder="1" applyAlignment="1">
      <alignment wrapText="1"/>
    </xf>
    <xf numFmtId="164" fontId="0" fillId="0" borderId="5" xfId="0" applyNumberFormat="1" applyBorder="1"/>
    <xf numFmtId="0" fontId="0" fillId="0" borderId="4" xfId="0" applyBorder="1"/>
    <xf numFmtId="9" fontId="0" fillId="0" borderId="0" xfId="3" applyFont="1" applyAlignment="1">
      <alignment wrapText="1"/>
    </xf>
    <xf numFmtId="10" fontId="0" fillId="0" borderId="0" xfId="3" applyNumberFormat="1" applyFont="1"/>
    <xf numFmtId="43" fontId="0" fillId="0" borderId="0" xfId="1" applyFont="1"/>
    <xf numFmtId="0" fontId="3" fillId="0" borderId="0" xfId="0" applyFont="1"/>
    <xf numFmtId="0" fontId="4" fillId="0" borderId="0" xfId="0" applyFont="1"/>
    <xf numFmtId="0" fontId="4" fillId="0" borderId="1" xfId="0" applyFont="1" applyBorder="1"/>
    <xf numFmtId="10" fontId="2" fillId="0" borderId="0" xfId="0" applyNumberFormat="1" applyFont="1"/>
    <xf numFmtId="2" fontId="2" fillId="0" borderId="0" xfId="0" applyNumberFormat="1" applyFont="1"/>
    <xf numFmtId="167" fontId="2" fillId="0" borderId="0" xfId="0" applyNumberFormat="1" applyFont="1"/>
    <xf numFmtId="167" fontId="0" fillId="0" borderId="0" xfId="0" applyNumberFormat="1"/>
    <xf numFmtId="168" fontId="2" fillId="0" borderId="0" xfId="0" applyNumberFormat="1" applyFont="1"/>
    <xf numFmtId="169" fontId="2" fillId="0" borderId="0" xfId="0" applyNumberFormat="1" applyFont="1"/>
    <xf numFmtId="0" fontId="4" fillId="0" borderId="7" xfId="0" applyFont="1" applyBorder="1"/>
    <xf numFmtId="0" fontId="0" fillId="0" borderId="6" xfId="0" applyBorder="1" applyAlignment="1">
      <alignment wrapText="1"/>
    </xf>
    <xf numFmtId="0" fontId="2" fillId="0" borderId="6" xfId="0" applyFont="1" applyBorder="1"/>
    <xf numFmtId="0" fontId="5" fillId="0" borderId="7" xfId="0" applyFont="1" applyBorder="1"/>
    <xf numFmtId="0" fontId="0" fillId="0" borderId="6" xfId="0" applyBorder="1"/>
    <xf numFmtId="0" fontId="0" fillId="0" borderId="8" xfId="0" applyBorder="1" applyAlignment="1">
      <alignment wrapText="1"/>
    </xf>
    <xf numFmtId="0" fontId="0" fillId="0" borderId="0" xfId="0" applyAlignment="1">
      <alignment horizontal="center" wrapText="1"/>
    </xf>
  </cellXfs>
  <cellStyles count="4">
    <cellStyle name="Comma" xfId="1" builtinId="3"/>
    <cellStyle name="Currency" xfId="2" builtinId="4"/>
    <cellStyle name="Normal" xfId="0" builtinId="0"/>
    <cellStyle name="Percent" xfId="3" builtinId="5"/>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Net</a:t>
            </a:r>
            <a:r>
              <a:rPr lang="en-US" baseline="0"/>
              <a:t> Sales: 2024 vs. 2025</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Dashboard!$A$21</c:f>
              <c:strCache>
                <c:ptCount val="1"/>
                <c:pt idx="0">
                  <c:v>2024 -&gt; 2025 Key Trends</c:v>
                </c:pt>
              </c:strCache>
            </c:strRef>
          </c:tx>
          <c:spPr>
            <a:solidFill>
              <a:schemeClr val="accent1"/>
            </a:solidFill>
            <a:ln>
              <a:noFill/>
            </a:ln>
            <a:effectLst/>
          </c:spPr>
          <c:invertIfNegative val="0"/>
          <c:cat>
            <c:numRef>
              <c:f>Dashboard!$B$21:$C$21</c:f>
              <c:numCache>
                <c:formatCode>General</c:formatCode>
                <c:ptCount val="2"/>
                <c:pt idx="0">
                  <c:v>2024</c:v>
                </c:pt>
                <c:pt idx="1">
                  <c:v>2025</c:v>
                </c:pt>
              </c:numCache>
            </c:numRef>
          </c:cat>
          <c:val>
            <c:numRef>
              <c:f>Dashboard!$B$21:$C$21</c:f>
              <c:numCache>
                <c:formatCode>General</c:formatCode>
                <c:ptCount val="2"/>
                <c:pt idx="0">
                  <c:v>2024</c:v>
                </c:pt>
                <c:pt idx="1">
                  <c:v>2025</c:v>
                </c:pt>
              </c:numCache>
            </c:numRef>
          </c:val>
          <c:extLst>
            <c:ext xmlns:c16="http://schemas.microsoft.com/office/drawing/2014/chart" uri="{C3380CC4-5D6E-409C-BE32-E72D297353CC}">
              <c16:uniqueId val="{00000000-CAE0-0B40-B5B0-002D97685ECA}"/>
            </c:ext>
          </c:extLst>
        </c:ser>
        <c:ser>
          <c:idx val="1"/>
          <c:order val="1"/>
          <c:tx>
            <c:strRef>
              <c:f>Dashboard!$A$22</c:f>
              <c:strCache>
                <c:ptCount val="1"/>
                <c:pt idx="0">
                  <c:v>Net Sales</c:v>
                </c:pt>
              </c:strCache>
            </c:strRef>
          </c:tx>
          <c:spPr>
            <a:solidFill>
              <a:schemeClr val="accent2"/>
            </a:solidFill>
            <a:ln>
              <a:noFill/>
            </a:ln>
            <a:effectLst/>
          </c:spPr>
          <c:invertIfNegative val="0"/>
          <c:cat>
            <c:numRef>
              <c:f>Dashboard!$B$21:$C$21</c:f>
              <c:numCache>
                <c:formatCode>General</c:formatCode>
                <c:ptCount val="2"/>
                <c:pt idx="0">
                  <c:v>2024</c:v>
                </c:pt>
                <c:pt idx="1">
                  <c:v>2025</c:v>
                </c:pt>
              </c:numCache>
            </c:numRef>
          </c:cat>
          <c:val>
            <c:numRef>
              <c:f>Dashboard!$B$22:$C$22</c:f>
              <c:numCache>
                <c:formatCode>"$"#,##0.0,"M"</c:formatCode>
                <c:ptCount val="2"/>
                <c:pt idx="0">
                  <c:v>2457091</c:v>
                </c:pt>
                <c:pt idx="1">
                  <c:v>2558730</c:v>
                </c:pt>
              </c:numCache>
            </c:numRef>
          </c:val>
          <c:extLst>
            <c:ext xmlns:c16="http://schemas.microsoft.com/office/drawing/2014/chart" uri="{C3380CC4-5D6E-409C-BE32-E72D297353CC}">
              <c16:uniqueId val="{00000001-CAE0-0B40-B5B0-002D97685ECA}"/>
            </c:ext>
          </c:extLst>
        </c:ser>
        <c:dLbls>
          <c:showLegendKey val="0"/>
          <c:showVal val="0"/>
          <c:showCatName val="0"/>
          <c:showSerName val="0"/>
          <c:showPercent val="0"/>
          <c:showBubbleSize val="0"/>
        </c:dLbls>
        <c:gapWidth val="254"/>
        <c:overlap val="-77"/>
        <c:axId val="1620203648"/>
        <c:axId val="1620198272"/>
      </c:barChart>
      <c:catAx>
        <c:axId val="16202036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0198272"/>
        <c:crosses val="autoZero"/>
        <c:auto val="1"/>
        <c:lblAlgn val="ctr"/>
        <c:lblOffset val="100"/>
        <c:noMultiLvlLbl val="0"/>
      </c:catAx>
      <c:valAx>
        <c:axId val="16201982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0203648"/>
        <c:crosses val="autoZero"/>
        <c:crossBetween val="between"/>
      </c:valAx>
      <c:spPr>
        <a:noFill/>
        <a:ln>
          <a:noFill/>
        </a:ln>
        <a:effectLst/>
      </c:spPr>
    </c:plotArea>
    <c:legend>
      <c:legendPos val="b"/>
      <c:legendEntry>
        <c:idx val="0"/>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Profitability Margins:</a:t>
            </a:r>
            <a:r>
              <a:rPr lang="en-US" baseline="0"/>
              <a:t> 2024 vs. 2025</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Dashboard!$A$23</c:f>
              <c:strCache>
                <c:ptCount val="1"/>
                <c:pt idx="0">
                  <c:v>Gross Profit Margin</c:v>
                </c:pt>
              </c:strCache>
            </c:strRef>
          </c:tx>
          <c:spPr>
            <a:ln w="28575" cap="rnd">
              <a:solidFill>
                <a:schemeClr val="accent1"/>
              </a:solidFill>
              <a:round/>
            </a:ln>
            <a:effectLst/>
          </c:spPr>
          <c:marker>
            <c:symbol val="none"/>
          </c:marker>
          <c:cat>
            <c:numRef>
              <c:f>Dashboard!$B$21:$C$21</c:f>
              <c:numCache>
                <c:formatCode>General</c:formatCode>
                <c:ptCount val="2"/>
                <c:pt idx="0">
                  <c:v>2024</c:v>
                </c:pt>
                <c:pt idx="1">
                  <c:v>2025</c:v>
                </c:pt>
              </c:numCache>
            </c:numRef>
          </c:cat>
          <c:val>
            <c:numRef>
              <c:f>Dashboard!$B$23:$C$23</c:f>
              <c:numCache>
                <c:formatCode>0.00%</c:formatCode>
                <c:ptCount val="2"/>
                <c:pt idx="0">
                  <c:v>0.48338746916577369</c:v>
                </c:pt>
                <c:pt idx="1">
                  <c:v>0.4772891239013104</c:v>
                </c:pt>
              </c:numCache>
            </c:numRef>
          </c:val>
          <c:smooth val="0"/>
          <c:extLst>
            <c:ext xmlns:c16="http://schemas.microsoft.com/office/drawing/2014/chart" uri="{C3380CC4-5D6E-409C-BE32-E72D297353CC}">
              <c16:uniqueId val="{00000000-FD27-BC4C-B55B-D95DA61B0E07}"/>
            </c:ext>
          </c:extLst>
        </c:ser>
        <c:ser>
          <c:idx val="1"/>
          <c:order val="1"/>
          <c:tx>
            <c:strRef>
              <c:f>Dashboard!$A$24</c:f>
              <c:strCache>
                <c:ptCount val="1"/>
                <c:pt idx="0">
                  <c:v>Operating Margin</c:v>
                </c:pt>
              </c:strCache>
            </c:strRef>
          </c:tx>
          <c:spPr>
            <a:ln w="28575" cap="rnd">
              <a:solidFill>
                <a:schemeClr val="accent2"/>
              </a:solidFill>
              <a:round/>
            </a:ln>
            <a:effectLst/>
          </c:spPr>
          <c:marker>
            <c:symbol val="none"/>
          </c:marker>
          <c:cat>
            <c:numRef>
              <c:f>Dashboard!$B$21:$C$21</c:f>
              <c:numCache>
                <c:formatCode>General</c:formatCode>
                <c:ptCount val="2"/>
                <c:pt idx="0">
                  <c:v>2024</c:v>
                </c:pt>
                <c:pt idx="1">
                  <c:v>2025</c:v>
                </c:pt>
              </c:numCache>
            </c:numRef>
          </c:cat>
          <c:val>
            <c:numRef>
              <c:f>Dashboard!$B$24:$C$24</c:f>
              <c:numCache>
                <c:formatCode>0.00%</c:formatCode>
                <c:ptCount val="2"/>
                <c:pt idx="0">
                  <c:v>0.1238301715321085</c:v>
                </c:pt>
                <c:pt idx="1">
                  <c:v>0.11702211644057794</c:v>
                </c:pt>
              </c:numCache>
            </c:numRef>
          </c:val>
          <c:smooth val="0"/>
          <c:extLst>
            <c:ext xmlns:c16="http://schemas.microsoft.com/office/drawing/2014/chart" uri="{C3380CC4-5D6E-409C-BE32-E72D297353CC}">
              <c16:uniqueId val="{00000001-FD27-BC4C-B55B-D95DA61B0E07}"/>
            </c:ext>
          </c:extLst>
        </c:ser>
        <c:ser>
          <c:idx val="2"/>
          <c:order val="2"/>
          <c:tx>
            <c:strRef>
              <c:f>Dashboard!$A$25</c:f>
              <c:strCache>
                <c:ptCount val="1"/>
                <c:pt idx="0">
                  <c:v>Net Profit Margin</c:v>
                </c:pt>
              </c:strCache>
            </c:strRef>
          </c:tx>
          <c:spPr>
            <a:ln w="28575" cap="rnd">
              <a:solidFill>
                <a:schemeClr val="accent3"/>
              </a:solidFill>
              <a:round/>
            </a:ln>
            <a:effectLst/>
          </c:spPr>
          <c:marker>
            <c:symbol val="none"/>
          </c:marker>
          <c:cat>
            <c:numRef>
              <c:f>Dashboard!$B$21:$C$21</c:f>
              <c:numCache>
                <c:formatCode>General</c:formatCode>
                <c:ptCount val="2"/>
                <c:pt idx="0">
                  <c:v>2024</c:v>
                </c:pt>
                <c:pt idx="1">
                  <c:v>2025</c:v>
                </c:pt>
              </c:numCache>
            </c:numRef>
          </c:cat>
          <c:val>
            <c:numRef>
              <c:f>Dashboard!$B$25:$C$25</c:f>
              <c:numCache>
                <c:formatCode>0.00%</c:formatCode>
                <c:ptCount val="2"/>
                <c:pt idx="0">
                  <c:v>8.2146733678158446E-2</c:v>
                </c:pt>
                <c:pt idx="1">
                  <c:v>7.3145662105810305E-2</c:v>
                </c:pt>
              </c:numCache>
            </c:numRef>
          </c:val>
          <c:smooth val="0"/>
          <c:extLst>
            <c:ext xmlns:c16="http://schemas.microsoft.com/office/drawing/2014/chart" uri="{C3380CC4-5D6E-409C-BE32-E72D297353CC}">
              <c16:uniqueId val="{00000002-FD27-BC4C-B55B-D95DA61B0E07}"/>
            </c:ext>
          </c:extLst>
        </c:ser>
        <c:dLbls>
          <c:showLegendKey val="0"/>
          <c:showVal val="0"/>
          <c:showCatName val="0"/>
          <c:showSerName val="0"/>
          <c:showPercent val="0"/>
          <c:showBubbleSize val="0"/>
        </c:dLbls>
        <c:smooth val="0"/>
        <c:axId val="1376972608"/>
        <c:axId val="1376975296"/>
      </c:lineChart>
      <c:catAx>
        <c:axId val="13769726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6975296"/>
        <c:crosses val="autoZero"/>
        <c:auto val="1"/>
        <c:lblAlgn val="ctr"/>
        <c:lblOffset val="100"/>
        <c:noMultiLvlLbl val="0"/>
      </c:catAx>
      <c:valAx>
        <c:axId val="137697529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6972608"/>
        <c:crosses val="autoZero"/>
        <c:crossBetween val="between"/>
      </c:valAx>
      <c:spPr>
        <a:noFill/>
        <a:ln>
          <a:solidFill>
            <a:schemeClr val="tx1"/>
          </a:solid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2025 Cash Flow</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Dashboard!$D$14:$D$15</c:f>
              <c:strCache>
                <c:ptCount val="2"/>
                <c:pt idx="0">
                  <c:v>Operating Cash Flow</c:v>
                </c:pt>
                <c:pt idx="1">
                  <c:v>Free Cash Flow</c:v>
                </c:pt>
              </c:strCache>
            </c:strRef>
          </c:cat>
          <c:val>
            <c:numRef>
              <c:f>Dashboard!$E$14:$E$15</c:f>
              <c:numCache>
                <c:formatCode>"$"#,##0.0,"M"</c:formatCode>
                <c:ptCount val="2"/>
                <c:pt idx="0">
                  <c:v>194370</c:v>
                </c:pt>
                <c:pt idx="1">
                  <c:v>120028</c:v>
                </c:pt>
              </c:numCache>
            </c:numRef>
          </c:val>
          <c:extLst>
            <c:ext xmlns:c16="http://schemas.microsoft.com/office/drawing/2014/chart" uri="{C3380CC4-5D6E-409C-BE32-E72D297353CC}">
              <c16:uniqueId val="{00000000-EE6A-3843-A191-A93BADF049C1}"/>
            </c:ext>
          </c:extLst>
        </c:ser>
        <c:dLbls>
          <c:showLegendKey val="0"/>
          <c:showVal val="0"/>
          <c:showCatName val="0"/>
          <c:showSerName val="0"/>
          <c:showPercent val="0"/>
          <c:showBubbleSize val="0"/>
        </c:dLbls>
        <c:gapWidth val="219"/>
        <c:overlap val="-27"/>
        <c:axId val="1620366592"/>
        <c:axId val="1620258176"/>
      </c:barChart>
      <c:catAx>
        <c:axId val="16203665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0258176"/>
        <c:crosses val="autoZero"/>
        <c:auto val="1"/>
        <c:lblAlgn val="ctr"/>
        <c:lblOffset val="100"/>
        <c:noMultiLvlLbl val="0"/>
      </c:catAx>
      <c:valAx>
        <c:axId val="1620258176"/>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03665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45358</xdr:colOff>
      <xdr:row>31</xdr:row>
      <xdr:rowOff>30238</xdr:rowOff>
    </xdr:from>
    <xdr:to>
      <xdr:col>2</xdr:col>
      <xdr:colOff>697929</xdr:colOff>
      <xdr:row>42</xdr:row>
      <xdr:rowOff>171621</xdr:rowOff>
    </xdr:to>
    <xdr:graphicFrame macro="">
      <xdr:nvGraphicFramePr>
        <xdr:cNvPr id="4" name="Chart 3">
          <a:extLst>
            <a:ext uri="{FF2B5EF4-FFF2-40B4-BE49-F238E27FC236}">
              <a16:creationId xmlns:a16="http://schemas.microsoft.com/office/drawing/2014/main" id="{3BFD2226-C765-3EE6-78CD-43AB4A442BE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7277</xdr:colOff>
      <xdr:row>31</xdr:row>
      <xdr:rowOff>22837</xdr:rowOff>
    </xdr:from>
    <xdr:to>
      <xdr:col>4</xdr:col>
      <xdr:colOff>983965</xdr:colOff>
      <xdr:row>43</xdr:row>
      <xdr:rowOff>0</xdr:rowOff>
    </xdr:to>
    <xdr:graphicFrame macro="">
      <xdr:nvGraphicFramePr>
        <xdr:cNvPr id="10" name="Chart 9">
          <a:extLst>
            <a:ext uri="{FF2B5EF4-FFF2-40B4-BE49-F238E27FC236}">
              <a16:creationId xmlns:a16="http://schemas.microsoft.com/office/drawing/2014/main" id="{6725F8FB-0EE0-9CF7-AB93-4B763A7D88E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1964495</xdr:colOff>
      <xdr:row>43</xdr:row>
      <xdr:rowOff>190156</xdr:rowOff>
    </xdr:from>
    <xdr:to>
      <xdr:col>3</xdr:col>
      <xdr:colOff>1776855</xdr:colOff>
      <xdr:row>58</xdr:row>
      <xdr:rowOff>15788</xdr:rowOff>
    </xdr:to>
    <xdr:graphicFrame macro="">
      <xdr:nvGraphicFramePr>
        <xdr:cNvPr id="14" name="Chart 13">
          <a:extLst>
            <a:ext uri="{FF2B5EF4-FFF2-40B4-BE49-F238E27FC236}">
              <a16:creationId xmlns:a16="http://schemas.microsoft.com/office/drawing/2014/main" id="{A1C6757E-CB01-6D68-4374-CC60EAEA0F9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03"/>
  <sheetViews>
    <sheetView topLeftCell="A2" workbookViewId="0">
      <selection activeCell="B4" sqref="B4"/>
    </sheetView>
  </sheetViews>
  <sheetFormatPr baseColWidth="10" defaultColWidth="8.83203125" defaultRowHeight="15" x14ac:dyDescent="0.2"/>
  <cols>
    <col min="1" max="1" width="19.83203125" style="3" customWidth="1"/>
    <col min="2" max="3" width="13.83203125" bestFit="1" customWidth="1"/>
    <col min="4" max="4" width="14.1640625" bestFit="1" customWidth="1"/>
  </cols>
  <sheetData>
    <row r="1" spans="1:4" ht="16" x14ac:dyDescent="0.2">
      <c r="A1" s="14" t="s">
        <v>0</v>
      </c>
      <c r="B1" s="25">
        <v>2025</v>
      </c>
      <c r="C1" s="25">
        <v>2024</v>
      </c>
      <c r="D1" s="25">
        <v>2023</v>
      </c>
    </row>
    <row r="2" spans="1:4" x14ac:dyDescent="0.2">
      <c r="A2" s="2"/>
    </row>
    <row r="3" spans="1:4" ht="16" x14ac:dyDescent="0.2">
      <c r="A3" s="14" t="s">
        <v>1</v>
      </c>
      <c r="B3" s="15"/>
      <c r="C3" s="15"/>
      <c r="D3" s="15"/>
    </row>
    <row r="4" spans="1:4" ht="16" x14ac:dyDescent="0.2">
      <c r="A4" s="3" t="s">
        <v>5</v>
      </c>
      <c r="B4" s="10">
        <v>2558730</v>
      </c>
      <c r="C4" s="10">
        <v>2457091</v>
      </c>
      <c r="D4" s="10">
        <v>2381995</v>
      </c>
    </row>
    <row r="5" spans="1:4" ht="16" x14ac:dyDescent="0.2">
      <c r="A5" s="3" t="s">
        <v>6</v>
      </c>
      <c r="B5" s="4">
        <v>1337476</v>
      </c>
      <c r="C5" s="4">
        <v>1269364</v>
      </c>
      <c r="D5" s="4">
        <v>1261958</v>
      </c>
    </row>
    <row r="6" spans="1:4" ht="16" x14ac:dyDescent="0.2">
      <c r="A6" s="3" t="s">
        <v>2</v>
      </c>
      <c r="B6" s="4">
        <f>B4-B5</f>
        <v>1221254</v>
      </c>
      <c r="C6" s="4">
        <f t="shared" ref="C6:D6" si="0">C4-C5</f>
        <v>1187727</v>
      </c>
      <c r="D6" s="4">
        <f t="shared" si="0"/>
        <v>1120037</v>
      </c>
    </row>
    <row r="7" spans="1:4" ht="32" x14ac:dyDescent="0.2">
      <c r="A7" s="3" t="s">
        <v>7</v>
      </c>
      <c r="B7" s="4">
        <v>833419</v>
      </c>
      <c r="C7" s="4">
        <v>801600</v>
      </c>
      <c r="D7" s="4">
        <v>755671</v>
      </c>
    </row>
    <row r="8" spans="1:4" ht="32" x14ac:dyDescent="0.2">
      <c r="A8" s="3" t="s">
        <v>8</v>
      </c>
      <c r="B8" s="4">
        <v>76506</v>
      </c>
      <c r="C8" s="4">
        <v>67841</v>
      </c>
      <c r="D8" s="4">
        <v>64839</v>
      </c>
    </row>
    <row r="9" spans="1:4" ht="16" x14ac:dyDescent="0.2">
      <c r="A9" s="3" t="s">
        <v>9</v>
      </c>
      <c r="B9" s="4">
        <v>11901</v>
      </c>
      <c r="C9" s="4">
        <v>14024</v>
      </c>
      <c r="D9" s="4">
        <v>14222</v>
      </c>
    </row>
    <row r="10" spans="1:4" ht="32" x14ac:dyDescent="0.2">
      <c r="A10" s="3" t="s">
        <v>10</v>
      </c>
      <c r="B10" s="4">
        <f>B6-B7-B8-B9</f>
        <v>299428</v>
      </c>
      <c r="C10" s="4">
        <f t="shared" ref="C10:D10" si="1">C6-C7-C8-C9</f>
        <v>304262</v>
      </c>
      <c r="D10" s="4">
        <f t="shared" si="1"/>
        <v>285305</v>
      </c>
    </row>
    <row r="11" spans="1:4" ht="16" x14ac:dyDescent="0.2">
      <c r="A11" s="3" t="s">
        <v>11</v>
      </c>
      <c r="B11" s="4">
        <v>58288</v>
      </c>
      <c r="C11" s="4">
        <v>52637</v>
      </c>
      <c r="D11" s="4">
        <v>41288</v>
      </c>
    </row>
    <row r="12" spans="1:4" ht="32" x14ac:dyDescent="0.2">
      <c r="A12" s="3" t="s">
        <v>12</v>
      </c>
      <c r="B12" s="4">
        <v>16970</v>
      </c>
      <c r="C12" s="4">
        <v>0</v>
      </c>
      <c r="D12" s="4">
        <v>0</v>
      </c>
    </row>
    <row r="13" spans="1:4" ht="32" x14ac:dyDescent="0.2">
      <c r="A13" s="3" t="s">
        <v>13</v>
      </c>
      <c r="B13" s="11">
        <v>-15356</v>
      </c>
      <c r="C13" s="11">
        <v>1958</v>
      </c>
      <c r="D13" s="11">
        <v>2417</v>
      </c>
    </row>
    <row r="14" spans="1:4" ht="32" x14ac:dyDescent="0.2">
      <c r="A14" s="3" t="s">
        <v>14</v>
      </c>
      <c r="B14" s="4">
        <f>B10-B11-B12-B13</f>
        <v>239526</v>
      </c>
      <c r="C14" s="4">
        <f>C10-C11-C12-C13</f>
        <v>249667</v>
      </c>
      <c r="D14" s="4">
        <f t="shared" ref="D14" si="2">D10-D11-D12-D13</f>
        <v>241600</v>
      </c>
    </row>
    <row r="15" spans="1:4" ht="16" x14ac:dyDescent="0.2">
      <c r="A15" s="3" t="s">
        <v>3</v>
      </c>
      <c r="B15" s="4">
        <v>52366</v>
      </c>
      <c r="C15" s="4">
        <v>47825</v>
      </c>
      <c r="D15" s="4">
        <v>42993</v>
      </c>
    </row>
    <row r="16" spans="1:4" ht="16" x14ac:dyDescent="0.2">
      <c r="A16" s="3" t="s">
        <v>4</v>
      </c>
      <c r="B16" s="4">
        <f>B14-B15</f>
        <v>187160</v>
      </c>
      <c r="C16" s="4">
        <f t="shared" ref="C16:D16" si="3">C14-C15</f>
        <v>201842</v>
      </c>
      <c r="D16" s="4">
        <f t="shared" si="3"/>
        <v>198607</v>
      </c>
    </row>
    <row r="17" spans="1:4" ht="48" x14ac:dyDescent="0.2">
      <c r="A17" s="3" t="s">
        <v>15</v>
      </c>
      <c r="B17" s="4">
        <v>1385</v>
      </c>
      <c r="C17" s="4">
        <v>12456</v>
      </c>
      <c r="D17" s="4">
        <v>-178</v>
      </c>
    </row>
    <row r="18" spans="1:4" ht="49" thickBot="1" x14ac:dyDescent="0.25">
      <c r="A18" s="26" t="s">
        <v>16</v>
      </c>
      <c r="B18" s="27">
        <v>188545</v>
      </c>
      <c r="C18" s="27">
        <v>214298</v>
      </c>
      <c r="D18" s="27">
        <v>198429</v>
      </c>
    </row>
    <row r="19" spans="1:4" ht="16" thickTop="1" x14ac:dyDescent="0.2"/>
    <row r="20" spans="1:4" ht="16" x14ac:dyDescent="0.2">
      <c r="A20" s="2" t="s">
        <v>23</v>
      </c>
      <c r="B20" s="2"/>
      <c r="C20" s="2"/>
      <c r="D20" s="2"/>
    </row>
    <row r="21" spans="1:4" ht="16" x14ac:dyDescent="0.2">
      <c r="A21" s="14" t="s">
        <v>0</v>
      </c>
      <c r="B21" s="25">
        <v>2025</v>
      </c>
      <c r="C21" s="25">
        <v>2024</v>
      </c>
    </row>
    <row r="22" spans="1:4" ht="16" x14ac:dyDescent="0.2">
      <c r="A22" s="2" t="s">
        <v>35</v>
      </c>
    </row>
    <row r="23" spans="1:4" ht="32" x14ac:dyDescent="0.2">
      <c r="A23" s="3" t="s">
        <v>24</v>
      </c>
      <c r="B23" s="7">
        <v>50088</v>
      </c>
      <c r="C23" s="8">
        <v>53059</v>
      </c>
    </row>
    <row r="24" spans="1:4" ht="32" x14ac:dyDescent="0.2">
      <c r="A24" s="3" t="s">
        <v>25</v>
      </c>
      <c r="B24" s="4">
        <v>217480</v>
      </c>
      <c r="C24" s="4">
        <v>218368</v>
      </c>
    </row>
    <row r="25" spans="1:4" ht="16" x14ac:dyDescent="0.2">
      <c r="A25" s="3" t="s">
        <v>26</v>
      </c>
      <c r="B25" s="4">
        <v>608571</v>
      </c>
      <c r="C25" s="4">
        <v>575964</v>
      </c>
    </row>
    <row r="26" spans="1:4" ht="16" x14ac:dyDescent="0.2">
      <c r="A26" s="3" t="s">
        <v>27</v>
      </c>
      <c r="B26" s="4">
        <v>149232</v>
      </c>
      <c r="C26" s="4">
        <v>126482</v>
      </c>
    </row>
    <row r="27" spans="1:4" ht="16" x14ac:dyDescent="0.2">
      <c r="A27" s="3" t="s">
        <v>28</v>
      </c>
      <c r="B27" s="6">
        <v>1025371</v>
      </c>
      <c r="C27" s="6">
        <v>973873</v>
      </c>
    </row>
    <row r="28" spans="1:4" ht="32" x14ac:dyDescent="0.2">
      <c r="A28" s="3" t="s">
        <v>29</v>
      </c>
      <c r="B28" s="4">
        <v>356575</v>
      </c>
      <c r="C28" s="4">
        <v>325747</v>
      </c>
    </row>
    <row r="29" spans="1:4" ht="16" x14ac:dyDescent="0.2">
      <c r="A29" s="3" t="s">
        <v>30</v>
      </c>
      <c r="B29" s="4">
        <v>224258</v>
      </c>
      <c r="C29" s="4">
        <v>220136</v>
      </c>
    </row>
    <row r="30" spans="1:4" ht="16" x14ac:dyDescent="0.2">
      <c r="A30" s="3" t="s">
        <v>31</v>
      </c>
      <c r="B30" s="4">
        <v>511430</v>
      </c>
      <c r="C30" s="4">
        <v>523131</v>
      </c>
    </row>
    <row r="31" spans="1:4" ht="16" x14ac:dyDescent="0.2">
      <c r="A31" s="3" t="s">
        <v>32</v>
      </c>
      <c r="B31" s="4">
        <v>21081</v>
      </c>
      <c r="C31" s="4">
        <v>34306</v>
      </c>
    </row>
    <row r="32" spans="1:4" ht="16" x14ac:dyDescent="0.2">
      <c r="A32" s="3" t="s">
        <v>34</v>
      </c>
      <c r="B32" s="4">
        <v>203984</v>
      </c>
      <c r="C32" s="4">
        <v>103013</v>
      </c>
    </row>
    <row r="33" spans="1:3" ht="16" x14ac:dyDescent="0.2">
      <c r="A33" s="28" t="s">
        <v>33</v>
      </c>
      <c r="B33" s="29">
        <v>2342699</v>
      </c>
      <c r="C33" s="29">
        <v>2180206</v>
      </c>
    </row>
    <row r="34" spans="1:3" ht="64" x14ac:dyDescent="0.2">
      <c r="A34" s="2" t="s">
        <v>36</v>
      </c>
    </row>
    <row r="35" spans="1:3" ht="16" x14ac:dyDescent="0.2">
      <c r="A35" s="3" t="s">
        <v>37</v>
      </c>
      <c r="B35" s="6">
        <v>16005</v>
      </c>
      <c r="C35" s="6">
        <v>10160</v>
      </c>
    </row>
    <row r="36" spans="1:3" ht="32" x14ac:dyDescent="0.2">
      <c r="A36" s="3" t="s">
        <v>38</v>
      </c>
      <c r="B36">
        <v>661</v>
      </c>
      <c r="C36">
        <v>722</v>
      </c>
    </row>
    <row r="37" spans="1:3" ht="16" x14ac:dyDescent="0.2">
      <c r="A37" s="3" t="s">
        <v>39</v>
      </c>
      <c r="B37" s="4">
        <v>156984</v>
      </c>
      <c r="C37" s="4">
        <v>150322</v>
      </c>
    </row>
    <row r="38" spans="1:3" ht="16" x14ac:dyDescent="0.2">
      <c r="A38" s="3" t="s">
        <v>40</v>
      </c>
      <c r="B38" s="4">
        <v>34219</v>
      </c>
      <c r="C38" s="4">
        <v>36009</v>
      </c>
    </row>
    <row r="39" spans="1:3" ht="32" x14ac:dyDescent="0.2">
      <c r="A39" s="3" t="s">
        <v>41</v>
      </c>
      <c r="B39" s="4">
        <v>100975</v>
      </c>
      <c r="C39" s="4">
        <v>95064</v>
      </c>
    </row>
    <row r="40" spans="1:3" ht="32" x14ac:dyDescent="0.2">
      <c r="A40" s="3" t="s">
        <v>42</v>
      </c>
      <c r="B40" s="4">
        <v>121310</v>
      </c>
      <c r="C40" s="4">
        <v>180430</v>
      </c>
    </row>
    <row r="41" spans="1:3" ht="16" x14ac:dyDescent="0.2">
      <c r="A41" s="31" t="s">
        <v>43</v>
      </c>
      <c r="B41" s="32">
        <v>430154</v>
      </c>
      <c r="C41" s="32">
        <v>472707</v>
      </c>
    </row>
    <row r="43" spans="1:3" ht="16" x14ac:dyDescent="0.2">
      <c r="A43" s="3" t="s">
        <v>44</v>
      </c>
      <c r="B43" s="4">
        <v>926244</v>
      </c>
      <c r="C43" s="4">
        <v>753081</v>
      </c>
    </row>
    <row r="44" spans="1:3" ht="16" x14ac:dyDescent="0.2">
      <c r="A44" s="3" t="s">
        <v>32</v>
      </c>
      <c r="B44" s="4">
        <v>7604</v>
      </c>
      <c r="C44" s="4">
        <v>8107</v>
      </c>
    </row>
    <row r="45" spans="1:3" ht="48" x14ac:dyDescent="0.2">
      <c r="A45" s="3" t="s">
        <v>45</v>
      </c>
      <c r="B45" s="4">
        <v>68756</v>
      </c>
      <c r="C45" s="4">
        <v>74410</v>
      </c>
    </row>
    <row r="46" spans="1:3" ht="32" x14ac:dyDescent="0.2">
      <c r="A46" s="3" t="s">
        <v>46</v>
      </c>
      <c r="B46" s="4">
        <v>124605</v>
      </c>
      <c r="C46" s="4">
        <v>74737</v>
      </c>
    </row>
    <row r="47" spans="1:3" ht="16" x14ac:dyDescent="0.2">
      <c r="A47" s="31" t="s">
        <v>47</v>
      </c>
      <c r="B47" s="32">
        <v>1557363</v>
      </c>
      <c r="C47" s="32">
        <v>1383042</v>
      </c>
    </row>
    <row r="48" spans="1:3" ht="32" x14ac:dyDescent="0.2">
      <c r="A48" s="28" t="s">
        <v>48</v>
      </c>
      <c r="B48" s="30">
        <v>1770</v>
      </c>
      <c r="C48" s="30">
        <v>4028</v>
      </c>
    </row>
    <row r="49" spans="1:4" ht="16" x14ac:dyDescent="0.2">
      <c r="A49" s="2" t="s">
        <v>49</v>
      </c>
    </row>
    <row r="50" spans="1:4" ht="16" x14ac:dyDescent="0.2">
      <c r="A50" s="3" t="s">
        <v>50</v>
      </c>
      <c r="B50" s="4">
        <v>58</v>
      </c>
      <c r="C50" s="4">
        <v>61</v>
      </c>
    </row>
    <row r="51" spans="1:4" ht="32" x14ac:dyDescent="0.2">
      <c r="A51" s="3" t="s">
        <v>51</v>
      </c>
      <c r="B51" s="4">
        <v>763828</v>
      </c>
      <c r="C51" s="4">
        <v>787725</v>
      </c>
    </row>
    <row r="52" spans="1:4" ht="48" x14ac:dyDescent="0.2">
      <c r="A52" s="3" t="s">
        <v>52</v>
      </c>
      <c r="B52" s="11">
        <v>-122281</v>
      </c>
      <c r="C52" s="11">
        <v>-140315</v>
      </c>
    </row>
    <row r="53" spans="1:4" ht="16" x14ac:dyDescent="0.2">
      <c r="A53" s="3" t="s">
        <v>53</v>
      </c>
      <c r="B53" s="4">
        <v>141961</v>
      </c>
      <c r="C53" s="4">
        <v>180276</v>
      </c>
    </row>
    <row r="54" spans="1:4" ht="16" x14ac:dyDescent="0.2">
      <c r="A54" s="3" t="s">
        <v>54</v>
      </c>
      <c r="B54" s="4">
        <v>0</v>
      </c>
      <c r="C54" s="11">
        <v>-62500</v>
      </c>
    </row>
    <row r="55" spans="1:4" ht="48" x14ac:dyDescent="0.2">
      <c r="A55" s="3" t="s">
        <v>55</v>
      </c>
      <c r="B55" s="4">
        <v>783566</v>
      </c>
      <c r="C55" s="4">
        <v>765247</v>
      </c>
    </row>
    <row r="56" spans="1:4" ht="16" x14ac:dyDescent="0.2">
      <c r="A56" s="3" t="s">
        <v>56</v>
      </c>
      <c r="B56" s="4">
        <v>0</v>
      </c>
      <c r="C56" s="4">
        <v>27889</v>
      </c>
    </row>
    <row r="57" spans="1:4" ht="32" x14ac:dyDescent="0.2">
      <c r="A57" s="3" t="s">
        <v>57</v>
      </c>
      <c r="B57" s="4">
        <v>783566</v>
      </c>
      <c r="C57" s="4">
        <v>793136</v>
      </c>
    </row>
    <row r="58" spans="1:4" ht="65" thickBot="1" x14ac:dyDescent="0.25">
      <c r="A58" s="26" t="s">
        <v>58</v>
      </c>
      <c r="B58" s="27">
        <v>2342699</v>
      </c>
      <c r="C58" s="27">
        <v>2180206</v>
      </c>
    </row>
    <row r="59" spans="1:4" ht="16" thickTop="1" x14ac:dyDescent="0.2"/>
    <row r="60" spans="1:4" ht="16" x14ac:dyDescent="0.2">
      <c r="A60" s="3" t="s">
        <v>59</v>
      </c>
      <c r="B60" s="4">
        <f>B33-((B47+B48+B57))</f>
        <v>0</v>
      </c>
      <c r="C60" s="4">
        <f>C33-(C47+C48+C57)</f>
        <v>0</v>
      </c>
    </row>
    <row r="62" spans="1:4" ht="16" x14ac:dyDescent="0.2">
      <c r="A62" s="2" t="s">
        <v>60</v>
      </c>
    </row>
    <row r="63" spans="1:4" ht="16" x14ac:dyDescent="0.2">
      <c r="A63" s="17" t="s">
        <v>0</v>
      </c>
      <c r="B63" s="33">
        <v>2025</v>
      </c>
      <c r="C63" s="33">
        <v>2024</v>
      </c>
      <c r="D63" s="33">
        <v>2023</v>
      </c>
    </row>
    <row r="64" spans="1:4" ht="32" x14ac:dyDescent="0.2">
      <c r="A64" s="2" t="s">
        <v>61</v>
      </c>
    </row>
    <row r="65" spans="1:4" ht="16" x14ac:dyDescent="0.2">
      <c r="A65" s="34" t="s">
        <v>4</v>
      </c>
      <c r="B65" s="10">
        <v>187160</v>
      </c>
      <c r="C65" s="10">
        <v>201842</v>
      </c>
      <c r="D65" s="10">
        <v>198607</v>
      </c>
    </row>
    <row r="66" spans="1:4" ht="32" x14ac:dyDescent="0.2">
      <c r="A66" s="3" t="s">
        <v>62</v>
      </c>
      <c r="B66" s="11">
        <v>55292</v>
      </c>
      <c r="C66" s="11">
        <v>55888</v>
      </c>
      <c r="D66" s="11">
        <v>51356</v>
      </c>
    </row>
    <row r="67" spans="1:4" ht="32" x14ac:dyDescent="0.2">
      <c r="A67" s="3" t="s">
        <v>63</v>
      </c>
      <c r="B67" s="11">
        <v>-2823</v>
      </c>
      <c r="C67" s="11">
        <v>-2856</v>
      </c>
      <c r="D67" s="11">
        <v>1507</v>
      </c>
    </row>
    <row r="68" spans="1:4" ht="32" x14ac:dyDescent="0.2">
      <c r="A68" s="3" t="s">
        <v>64</v>
      </c>
      <c r="B68" s="11">
        <v>1757</v>
      </c>
      <c r="C68" s="11">
        <v>1754</v>
      </c>
      <c r="D68" s="11">
        <v>927</v>
      </c>
    </row>
    <row r="69" spans="1:4" ht="32" x14ac:dyDescent="0.2">
      <c r="A69" s="3" t="s">
        <v>65</v>
      </c>
      <c r="B69" s="11">
        <v>28580</v>
      </c>
      <c r="C69" s="11">
        <v>30792</v>
      </c>
      <c r="D69" s="11">
        <v>29709</v>
      </c>
    </row>
    <row r="70" spans="1:4" ht="48" x14ac:dyDescent="0.2">
      <c r="A70" s="3" t="s">
        <v>66</v>
      </c>
      <c r="B70" s="11">
        <v>725</v>
      </c>
      <c r="C70" s="11">
        <v>902</v>
      </c>
      <c r="D70" s="11">
        <v>99</v>
      </c>
    </row>
    <row r="71" spans="1:4" ht="32" x14ac:dyDescent="0.2">
      <c r="A71" s="3" t="s">
        <v>67</v>
      </c>
      <c r="B71" s="11">
        <v>-20887</v>
      </c>
      <c r="C71" s="11">
        <v>0</v>
      </c>
      <c r="D71" s="11">
        <v>0</v>
      </c>
    </row>
    <row r="72" spans="1:4" ht="32" x14ac:dyDescent="0.2">
      <c r="A72" s="3" t="s">
        <v>68</v>
      </c>
      <c r="B72" s="11">
        <v>1113</v>
      </c>
      <c r="C72" s="11">
        <v>0</v>
      </c>
      <c r="D72" s="11">
        <v>0</v>
      </c>
    </row>
    <row r="73" spans="1:4" ht="48" x14ac:dyDescent="0.2">
      <c r="A73" s="3" t="s">
        <v>69</v>
      </c>
      <c r="B73" s="11">
        <v>16970</v>
      </c>
      <c r="C73" s="11">
        <v>0</v>
      </c>
      <c r="D73" s="11">
        <v>0</v>
      </c>
    </row>
    <row r="74" spans="1:4" ht="16" x14ac:dyDescent="0.2">
      <c r="A74" s="3" t="s">
        <v>70</v>
      </c>
      <c r="B74" s="11">
        <v>13941</v>
      </c>
      <c r="C74" s="11">
        <v>915</v>
      </c>
      <c r="D74" s="11">
        <v>15413</v>
      </c>
    </row>
    <row r="75" spans="1:4" ht="32" x14ac:dyDescent="0.2">
      <c r="A75" s="3" t="s">
        <v>71</v>
      </c>
      <c r="B75" s="11"/>
      <c r="C75" s="11"/>
      <c r="D75" s="11"/>
    </row>
    <row r="76" spans="1:4" ht="16" x14ac:dyDescent="0.2">
      <c r="A76" s="3" t="s">
        <v>72</v>
      </c>
      <c r="B76" s="11">
        <v>11962</v>
      </c>
      <c r="C76" s="11">
        <v>-26799</v>
      </c>
      <c r="D76" s="11">
        <v>13785</v>
      </c>
    </row>
    <row r="77" spans="1:4" ht="16" x14ac:dyDescent="0.2">
      <c r="A77" s="3" t="s">
        <v>26</v>
      </c>
      <c r="B77" s="11">
        <v>-20393</v>
      </c>
      <c r="C77" s="11">
        <v>21659</v>
      </c>
      <c r="D77" s="11">
        <v>58897</v>
      </c>
    </row>
    <row r="78" spans="1:4" ht="16" x14ac:dyDescent="0.2">
      <c r="A78" s="3" t="s">
        <v>73</v>
      </c>
      <c r="B78" s="11">
        <v>-1672</v>
      </c>
      <c r="C78" s="11">
        <v>1875</v>
      </c>
      <c r="D78" s="11">
        <v>-12105</v>
      </c>
    </row>
    <row r="79" spans="1:4" ht="16" x14ac:dyDescent="0.2">
      <c r="A79" s="3" t="s">
        <v>74</v>
      </c>
      <c r="B79" s="11">
        <v>-5086</v>
      </c>
      <c r="C79" s="11">
        <v>-8222</v>
      </c>
      <c r="D79" s="11">
        <v>6221</v>
      </c>
    </row>
    <row r="80" spans="1:4" ht="32" x14ac:dyDescent="0.2">
      <c r="A80" s="3" t="s">
        <v>75</v>
      </c>
      <c r="B80" s="11">
        <v>-72269</v>
      </c>
      <c r="C80" s="11">
        <v>-32642</v>
      </c>
      <c r="D80" s="11">
        <v>7411</v>
      </c>
    </row>
    <row r="81" spans="1:4" ht="32" x14ac:dyDescent="0.2">
      <c r="A81" s="31" t="s">
        <v>76</v>
      </c>
      <c r="B81" s="35">
        <v>194370</v>
      </c>
      <c r="C81" s="35">
        <v>245108</v>
      </c>
      <c r="D81" s="35">
        <v>371827</v>
      </c>
    </row>
    <row r="82" spans="1:4" ht="32" x14ac:dyDescent="0.2">
      <c r="A82" s="2" t="s">
        <v>77</v>
      </c>
    </row>
    <row r="83" spans="1:4" ht="32" x14ac:dyDescent="0.2">
      <c r="A83" s="3" t="s">
        <v>78</v>
      </c>
      <c r="B83" s="11">
        <v>-74342</v>
      </c>
      <c r="C83" s="11">
        <v>-74624</v>
      </c>
      <c r="D83" s="11">
        <v>-75364</v>
      </c>
    </row>
    <row r="84" spans="1:4" ht="32" x14ac:dyDescent="0.2">
      <c r="A84" s="3" t="s">
        <v>79</v>
      </c>
      <c r="B84" s="11">
        <v>0</v>
      </c>
      <c r="C84" s="11">
        <v>0</v>
      </c>
      <c r="D84" s="4">
        <v>-25235</v>
      </c>
    </row>
    <row r="85" spans="1:4" ht="16" x14ac:dyDescent="0.2">
      <c r="A85" s="3" t="s">
        <v>80</v>
      </c>
      <c r="B85" s="11">
        <v>0</v>
      </c>
      <c r="C85" s="11">
        <v>0</v>
      </c>
      <c r="D85">
        <v>-887</v>
      </c>
    </row>
    <row r="86" spans="1:4" ht="32" x14ac:dyDescent="0.2">
      <c r="A86" s="31" t="s">
        <v>81</v>
      </c>
      <c r="B86" s="36">
        <v>-74342</v>
      </c>
      <c r="C86" s="36">
        <v>-74624</v>
      </c>
      <c r="D86" s="36">
        <v>-101486</v>
      </c>
    </row>
    <row r="87" spans="1:4" ht="32" x14ac:dyDescent="0.2">
      <c r="A87" s="2" t="s">
        <v>82</v>
      </c>
    </row>
    <row r="88" spans="1:4" ht="32" x14ac:dyDescent="0.2">
      <c r="A88" s="3" t="s">
        <v>83</v>
      </c>
      <c r="B88" s="37">
        <v>1780933</v>
      </c>
      <c r="C88" s="37">
        <v>1243120</v>
      </c>
      <c r="D88" s="11">
        <v>1527896</v>
      </c>
    </row>
    <row r="89" spans="1:4" ht="32" x14ac:dyDescent="0.2">
      <c r="A89" s="3" t="s">
        <v>84</v>
      </c>
      <c r="B89" s="37">
        <v>-1752274</v>
      </c>
      <c r="C89" s="37">
        <v>-1178799</v>
      </c>
      <c r="D89" s="11">
        <v>-1739308</v>
      </c>
    </row>
    <row r="90" spans="1:4" ht="48" x14ac:dyDescent="0.2">
      <c r="A90" s="3" t="s">
        <v>85</v>
      </c>
      <c r="B90" s="37">
        <v>500000</v>
      </c>
      <c r="C90" s="37">
        <v>0</v>
      </c>
      <c r="D90" s="11">
        <v>350000</v>
      </c>
    </row>
    <row r="91" spans="1:4" ht="48" x14ac:dyDescent="0.2">
      <c r="A91" s="3" t="s">
        <v>86</v>
      </c>
      <c r="B91" s="37">
        <v>-350000</v>
      </c>
      <c r="C91" s="37">
        <v>0</v>
      </c>
      <c r="D91" s="11">
        <v>0</v>
      </c>
    </row>
    <row r="92" spans="1:4" ht="32" x14ac:dyDescent="0.2">
      <c r="A92" s="3" t="s">
        <v>87</v>
      </c>
      <c r="B92" s="37">
        <v>-12908</v>
      </c>
      <c r="C92" s="37">
        <v>0</v>
      </c>
      <c r="D92" s="11">
        <v>0</v>
      </c>
    </row>
    <row r="93" spans="1:4" ht="32" x14ac:dyDescent="0.2">
      <c r="A93" s="3" t="s">
        <v>88</v>
      </c>
      <c r="B93" s="37">
        <v>-9592</v>
      </c>
      <c r="C93" s="37">
        <v>0</v>
      </c>
      <c r="D93" s="11">
        <v>-6328</v>
      </c>
    </row>
    <row r="94" spans="1:4" ht="32" x14ac:dyDescent="0.2">
      <c r="A94" s="3" t="s">
        <v>89</v>
      </c>
      <c r="B94" s="37">
        <v>-211524</v>
      </c>
      <c r="C94" s="37">
        <v>-172799</v>
      </c>
      <c r="D94" s="11">
        <v>-334088</v>
      </c>
    </row>
    <row r="95" spans="1:4" ht="32" x14ac:dyDescent="0.2">
      <c r="A95" s="3" t="s">
        <v>90</v>
      </c>
      <c r="B95" s="37">
        <v>-56156</v>
      </c>
      <c r="C95" s="37">
        <v>-54291</v>
      </c>
      <c r="D95" s="11">
        <v>-52480</v>
      </c>
    </row>
    <row r="96" spans="1:4" ht="48" x14ac:dyDescent="0.2">
      <c r="A96" s="3" t="s">
        <v>91</v>
      </c>
      <c r="B96" s="37">
        <v>-11560</v>
      </c>
      <c r="C96" s="37">
        <v>-16914</v>
      </c>
      <c r="D96" s="11">
        <v>-11495</v>
      </c>
    </row>
    <row r="97" spans="1:4" ht="16" x14ac:dyDescent="0.2">
      <c r="A97" s="3" t="s">
        <v>80</v>
      </c>
      <c r="B97" s="37">
        <v>-1742</v>
      </c>
      <c r="C97" s="37">
        <v>0</v>
      </c>
      <c r="D97" s="11">
        <v>1078</v>
      </c>
    </row>
    <row r="98" spans="1:4" ht="32" x14ac:dyDescent="0.2">
      <c r="A98" s="31" t="s">
        <v>92</v>
      </c>
      <c r="B98" s="38">
        <v>-124823</v>
      </c>
      <c r="C98" s="38">
        <v>-179683</v>
      </c>
      <c r="D98" s="36">
        <v>-264725</v>
      </c>
    </row>
    <row r="99" spans="1:4" ht="32" x14ac:dyDescent="0.2">
      <c r="A99" s="3" t="s">
        <v>93</v>
      </c>
      <c r="B99" s="37">
        <v>1824</v>
      </c>
      <c r="C99" s="37">
        <v>-3177</v>
      </c>
      <c r="D99" s="37">
        <v>915</v>
      </c>
    </row>
    <row r="100" spans="1:4" ht="32" x14ac:dyDescent="0.2">
      <c r="A100" s="3" t="s">
        <v>94</v>
      </c>
      <c r="B100" s="37">
        <v>-2971</v>
      </c>
      <c r="C100" s="37">
        <v>-12376</v>
      </c>
      <c r="D100" s="37">
        <v>6531</v>
      </c>
    </row>
    <row r="101" spans="1:4" ht="16" x14ac:dyDescent="0.2">
      <c r="A101" s="3" t="s">
        <v>95</v>
      </c>
      <c r="B101" s="37">
        <v>53059</v>
      </c>
      <c r="C101" s="37">
        <v>65435</v>
      </c>
      <c r="D101" s="37">
        <v>58904</v>
      </c>
    </row>
    <row r="102" spans="1:4" ht="17" thickBot="1" x14ac:dyDescent="0.25">
      <c r="A102" s="39" t="s">
        <v>96</v>
      </c>
      <c r="B102" s="40">
        <v>50088</v>
      </c>
      <c r="C102" s="40">
        <v>53059</v>
      </c>
      <c r="D102" s="40">
        <v>65435</v>
      </c>
    </row>
    <row r="103" spans="1:4" ht="16" thickTop="1" x14ac:dyDescent="0.2"/>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93C67E-57DE-4833-B918-C53B1315AB7A}">
  <dimension ref="A1:D19"/>
  <sheetViews>
    <sheetView zoomScale="107" workbookViewId="0">
      <selection activeCell="B8" sqref="B8"/>
    </sheetView>
  </sheetViews>
  <sheetFormatPr baseColWidth="10" defaultColWidth="8.83203125" defaultRowHeight="15" x14ac:dyDescent="0.2"/>
  <cols>
    <col min="1" max="1" width="17.6640625" style="3" customWidth="1"/>
    <col min="2" max="4" width="13.6640625" bestFit="1" customWidth="1"/>
  </cols>
  <sheetData>
    <row r="1" spans="1:4" ht="16" x14ac:dyDescent="0.2">
      <c r="A1" s="14" t="s">
        <v>0</v>
      </c>
      <c r="B1" s="25">
        <v>2025</v>
      </c>
      <c r="C1" s="25">
        <v>2024</v>
      </c>
      <c r="D1" s="25">
        <v>2023</v>
      </c>
    </row>
    <row r="3" spans="1:4" ht="16" x14ac:dyDescent="0.2">
      <c r="A3" s="2" t="s">
        <v>1</v>
      </c>
    </row>
    <row r="4" spans="1:4" ht="16" x14ac:dyDescent="0.2">
      <c r="A4" s="3" t="s">
        <v>5</v>
      </c>
      <c r="B4" s="10">
        <f>'Raw Financials'!B4</f>
        <v>2558730</v>
      </c>
      <c r="C4" s="10">
        <f>'Raw Financials'!C4</f>
        <v>2457091</v>
      </c>
      <c r="D4" s="10">
        <f>'Raw Financials'!D4</f>
        <v>2381995</v>
      </c>
    </row>
    <row r="5" spans="1:4" ht="16" x14ac:dyDescent="0.2">
      <c r="A5" s="3" t="s">
        <v>6</v>
      </c>
      <c r="B5" s="4">
        <f>'Raw Financials'!B5</f>
        <v>1337476</v>
      </c>
      <c r="C5" s="4">
        <f>'Raw Financials'!C5</f>
        <v>1269364</v>
      </c>
      <c r="D5" s="4">
        <f>'Raw Financials'!D5</f>
        <v>1261958</v>
      </c>
    </row>
    <row r="6" spans="1:4" s="1" customFormat="1" ht="16" x14ac:dyDescent="0.2">
      <c r="A6" s="14" t="s">
        <v>2</v>
      </c>
      <c r="B6" s="16">
        <f>B4-B5</f>
        <v>1221254</v>
      </c>
      <c r="C6" s="16">
        <f t="shared" ref="C6:D6" si="0">C4-C5</f>
        <v>1187727</v>
      </c>
      <c r="D6" s="16">
        <f t="shared" si="0"/>
        <v>1120037</v>
      </c>
    </row>
    <row r="7" spans="1:4" ht="32" x14ac:dyDescent="0.2">
      <c r="A7" s="3" t="s">
        <v>19</v>
      </c>
      <c r="B7" s="4">
        <f>'Raw Financials'!B7</f>
        <v>833419</v>
      </c>
      <c r="C7" s="4">
        <f>'Raw Financials'!C7</f>
        <v>801600</v>
      </c>
      <c r="D7" s="4">
        <f>'Raw Financials'!D7</f>
        <v>755671</v>
      </c>
    </row>
    <row r="8" spans="1:4" ht="32" x14ac:dyDescent="0.2">
      <c r="A8" s="3" t="s">
        <v>8</v>
      </c>
      <c r="B8" s="4">
        <f>'Raw Financials'!B8</f>
        <v>76506</v>
      </c>
      <c r="C8" s="4">
        <f>'Raw Financials'!C8</f>
        <v>67841</v>
      </c>
      <c r="D8" s="4">
        <f>'Raw Financials'!D8</f>
        <v>64839</v>
      </c>
    </row>
    <row r="9" spans="1:4" ht="32" x14ac:dyDescent="0.2">
      <c r="A9" s="3" t="s">
        <v>9</v>
      </c>
      <c r="B9" s="4">
        <f>'Raw Financials'!B9</f>
        <v>11901</v>
      </c>
      <c r="C9" s="4">
        <f>'Raw Financials'!C9</f>
        <v>14024</v>
      </c>
      <c r="D9" s="4">
        <f>'Raw Financials'!D9</f>
        <v>14222</v>
      </c>
    </row>
    <row r="10" spans="1:4" s="1" customFormat="1" ht="32" x14ac:dyDescent="0.2">
      <c r="A10" s="18" t="s">
        <v>20</v>
      </c>
      <c r="B10" s="19">
        <f>B6-B7-B8-B9</f>
        <v>299428</v>
      </c>
      <c r="C10" s="19">
        <f t="shared" ref="C10:D10" si="1">C6-C7-C8-C9</f>
        <v>304262</v>
      </c>
      <c r="D10" s="19">
        <f t="shared" si="1"/>
        <v>285305</v>
      </c>
    </row>
    <row r="11" spans="1:4" ht="16" x14ac:dyDescent="0.2">
      <c r="A11" s="3" t="s">
        <v>11</v>
      </c>
      <c r="B11" s="4">
        <f>'Raw Financials'!B11</f>
        <v>58288</v>
      </c>
      <c r="C11" s="4">
        <f>'Raw Financials'!C11</f>
        <v>52637</v>
      </c>
      <c r="D11" s="4">
        <f>'Raw Financials'!D11</f>
        <v>41288</v>
      </c>
    </row>
    <row r="12" spans="1:4" ht="32" x14ac:dyDescent="0.2">
      <c r="A12" s="3" t="s">
        <v>12</v>
      </c>
      <c r="B12" s="11">
        <f>'Raw Financials'!B12</f>
        <v>16970</v>
      </c>
      <c r="C12" s="11">
        <f>'Raw Financials'!C12</f>
        <v>0</v>
      </c>
      <c r="D12" s="11">
        <f>'Raw Financials'!D12</f>
        <v>0</v>
      </c>
    </row>
    <row r="13" spans="1:4" ht="32" x14ac:dyDescent="0.2">
      <c r="A13" s="3" t="s">
        <v>13</v>
      </c>
      <c r="B13" s="11">
        <f>'Raw Financials'!B13</f>
        <v>-15356</v>
      </c>
      <c r="C13" s="11">
        <f>'Raw Financials'!C13</f>
        <v>1958</v>
      </c>
      <c r="D13" s="11">
        <f>'Raw Financials'!D13</f>
        <v>2417</v>
      </c>
    </row>
    <row r="14" spans="1:4" s="1" customFormat="1" ht="32" x14ac:dyDescent="0.2">
      <c r="A14" s="2" t="s">
        <v>14</v>
      </c>
      <c r="B14" s="13">
        <f>'Raw Financials'!B14</f>
        <v>239526</v>
      </c>
      <c r="C14" s="13">
        <f>'Raw Financials'!C14</f>
        <v>249667</v>
      </c>
      <c r="D14" s="13">
        <f>'Raw Financials'!D14</f>
        <v>241600</v>
      </c>
    </row>
    <row r="15" spans="1:4" ht="16" x14ac:dyDescent="0.2">
      <c r="A15" s="3" t="s">
        <v>3</v>
      </c>
      <c r="B15" s="11">
        <f>'Raw Financials'!B15</f>
        <v>52366</v>
      </c>
      <c r="C15" s="11">
        <f>'Raw Financials'!C15</f>
        <v>47825</v>
      </c>
      <c r="D15" s="11">
        <f>'Raw Financials'!D15</f>
        <v>42993</v>
      </c>
    </row>
    <row r="16" spans="1:4" s="1" customFormat="1" ht="16" x14ac:dyDescent="0.2">
      <c r="A16" s="18" t="s">
        <v>4</v>
      </c>
      <c r="B16" s="20">
        <f>'Raw Financials'!B16</f>
        <v>187160</v>
      </c>
      <c r="C16" s="20">
        <f>'Raw Financials'!C16</f>
        <v>201842</v>
      </c>
      <c r="D16" s="20">
        <f>'Raw Financials'!D16</f>
        <v>198607</v>
      </c>
    </row>
    <row r="17" spans="1:4" ht="64" x14ac:dyDescent="0.2">
      <c r="A17" s="3" t="s">
        <v>21</v>
      </c>
      <c r="B17" s="11">
        <f>'Raw Financials'!B17</f>
        <v>1385</v>
      </c>
      <c r="C17" s="11">
        <f>'Raw Financials'!C17</f>
        <v>12456</v>
      </c>
      <c r="D17" s="11">
        <f>'Raw Financials'!D17</f>
        <v>-178</v>
      </c>
    </row>
    <row r="18" spans="1:4" s="1" customFormat="1" ht="65" thickBot="1" x14ac:dyDescent="0.25">
      <c r="A18" s="21" t="s">
        <v>22</v>
      </c>
      <c r="B18" s="22">
        <f>B16+B17</f>
        <v>188545</v>
      </c>
      <c r="C18" s="22">
        <f t="shared" ref="C18:D18" si="2">C16+C17</f>
        <v>214298</v>
      </c>
      <c r="D18" s="22">
        <f t="shared" si="2"/>
        <v>198429</v>
      </c>
    </row>
    <row r="19" spans="1:4" ht="16" thickTop="1" x14ac:dyDescent="0.2"/>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FD023-0D37-4442-AAEB-8940EA3C2566}">
  <dimension ref="A1:C42"/>
  <sheetViews>
    <sheetView topLeftCell="A8" workbookViewId="0">
      <selection activeCell="A38" sqref="A38"/>
    </sheetView>
  </sheetViews>
  <sheetFormatPr baseColWidth="10" defaultColWidth="8.83203125" defaultRowHeight="15" x14ac:dyDescent="0.2"/>
  <cols>
    <col min="1" max="1" width="16.1640625" customWidth="1"/>
    <col min="2" max="3" width="13.6640625" bestFit="1" customWidth="1"/>
  </cols>
  <sheetData>
    <row r="1" spans="1:3" ht="16" x14ac:dyDescent="0.2">
      <c r="A1" s="2" t="s">
        <v>23</v>
      </c>
    </row>
    <row r="2" spans="1:3" ht="16" x14ac:dyDescent="0.2">
      <c r="A2" s="14" t="s">
        <v>0</v>
      </c>
      <c r="B2" s="25">
        <v>2025</v>
      </c>
      <c r="C2" s="25">
        <v>2023</v>
      </c>
    </row>
    <row r="3" spans="1:3" ht="16" x14ac:dyDescent="0.2">
      <c r="A3" s="2" t="s">
        <v>35</v>
      </c>
    </row>
    <row r="4" spans="1:3" ht="48" x14ac:dyDescent="0.2">
      <c r="A4" s="3" t="s">
        <v>24</v>
      </c>
      <c r="B4" s="6">
        <f>'Raw Financials'!B23</f>
        <v>50088</v>
      </c>
      <c r="C4" s="10">
        <f>'Raw Financials'!C23</f>
        <v>53059</v>
      </c>
    </row>
    <row r="5" spans="1:3" ht="32" x14ac:dyDescent="0.2">
      <c r="A5" s="3" t="s">
        <v>25</v>
      </c>
      <c r="B5" s="4">
        <f>'Raw Financials'!B24</f>
        <v>217480</v>
      </c>
      <c r="C5" s="4">
        <f>'Raw Financials'!C24</f>
        <v>218368</v>
      </c>
    </row>
    <row r="6" spans="1:3" ht="16" x14ac:dyDescent="0.2">
      <c r="A6" s="3" t="s">
        <v>26</v>
      </c>
      <c r="B6" s="4">
        <f>'Raw Financials'!B25</f>
        <v>608571</v>
      </c>
      <c r="C6" s="4">
        <f>'Raw Financials'!C25</f>
        <v>575964</v>
      </c>
    </row>
    <row r="7" spans="1:3" ht="32" x14ac:dyDescent="0.2">
      <c r="A7" s="3" t="s">
        <v>27</v>
      </c>
      <c r="B7" s="4">
        <f>'Raw Financials'!B26</f>
        <v>149232</v>
      </c>
      <c r="C7" s="4">
        <f>'Raw Financials'!C26</f>
        <v>126482</v>
      </c>
    </row>
    <row r="8" spans="1:3" s="1" customFormat="1" ht="16" x14ac:dyDescent="0.2">
      <c r="A8" s="18" t="s">
        <v>28</v>
      </c>
      <c r="B8" s="23">
        <f>SUM(B4:B7)</f>
        <v>1025371</v>
      </c>
      <c r="C8" s="23">
        <f>SUM(C4:C7)</f>
        <v>973873</v>
      </c>
    </row>
    <row r="9" spans="1:3" ht="32" x14ac:dyDescent="0.2">
      <c r="A9" s="3" t="s">
        <v>29</v>
      </c>
      <c r="B9" s="4">
        <f>'Raw Financials'!B28</f>
        <v>356575</v>
      </c>
      <c r="C9" s="4">
        <f>'Raw Financials'!C28</f>
        <v>325747</v>
      </c>
    </row>
    <row r="10" spans="1:3" ht="16" x14ac:dyDescent="0.2">
      <c r="A10" s="3" t="s">
        <v>30</v>
      </c>
      <c r="B10" s="4">
        <f>'Raw Financials'!B29</f>
        <v>224258</v>
      </c>
      <c r="C10" s="4">
        <f>'Raw Financials'!C29</f>
        <v>220136</v>
      </c>
    </row>
    <row r="11" spans="1:3" ht="32" x14ac:dyDescent="0.2">
      <c r="A11" s="3" t="s">
        <v>31</v>
      </c>
      <c r="B11" s="4">
        <f>'Raw Financials'!B30</f>
        <v>511430</v>
      </c>
      <c r="C11" s="4">
        <f>'Raw Financials'!C30</f>
        <v>523131</v>
      </c>
    </row>
    <row r="12" spans="1:3" ht="32" x14ac:dyDescent="0.2">
      <c r="A12" s="3" t="s">
        <v>32</v>
      </c>
      <c r="B12" s="4">
        <f>'Raw Financials'!B31</f>
        <v>21081</v>
      </c>
      <c r="C12" s="4">
        <f>'Raw Financials'!C31</f>
        <v>34306</v>
      </c>
    </row>
    <row r="13" spans="1:3" ht="16" x14ac:dyDescent="0.2">
      <c r="A13" s="3" t="s">
        <v>34</v>
      </c>
      <c r="B13" s="4">
        <f>'Raw Financials'!B32</f>
        <v>203984</v>
      </c>
      <c r="C13" s="4">
        <f>'Raw Financials'!C32</f>
        <v>103013</v>
      </c>
    </row>
    <row r="14" spans="1:3" s="1" customFormat="1" ht="17" thickBot="1" x14ac:dyDescent="0.25">
      <c r="A14" s="21" t="s">
        <v>33</v>
      </c>
      <c r="B14" s="22">
        <f>SUM(B8:B13)</f>
        <v>2342699</v>
      </c>
      <c r="C14" s="22">
        <f>SUM(C8:C13)</f>
        <v>2180206</v>
      </c>
    </row>
    <row r="15" spans="1:3" ht="107" customHeight="1" thickTop="1" x14ac:dyDescent="0.2">
      <c r="A15" s="2" t="s">
        <v>36</v>
      </c>
    </row>
    <row r="16" spans="1:3" ht="16" x14ac:dyDescent="0.2">
      <c r="A16" s="3" t="s">
        <v>37</v>
      </c>
      <c r="B16" s="6">
        <f>'Raw Financials'!B35</f>
        <v>16005</v>
      </c>
      <c r="C16" s="6">
        <f>'Raw Financials'!C35</f>
        <v>10160</v>
      </c>
    </row>
    <row r="17" spans="1:3" ht="32" x14ac:dyDescent="0.2">
      <c r="A17" s="3" t="s">
        <v>38</v>
      </c>
      <c r="B17" s="11">
        <f>'Raw Financials'!B36</f>
        <v>661</v>
      </c>
      <c r="C17" s="11">
        <f>'Raw Financials'!C36</f>
        <v>722</v>
      </c>
    </row>
    <row r="18" spans="1:3" ht="16" x14ac:dyDescent="0.2">
      <c r="A18" s="3" t="s">
        <v>39</v>
      </c>
      <c r="B18" s="11">
        <f>'Raw Financials'!B37</f>
        <v>156984</v>
      </c>
      <c r="C18" s="11">
        <f>'Raw Financials'!C37</f>
        <v>150322</v>
      </c>
    </row>
    <row r="19" spans="1:3" ht="16" x14ac:dyDescent="0.2">
      <c r="A19" s="3" t="s">
        <v>40</v>
      </c>
      <c r="B19" s="11">
        <f>'Raw Financials'!B38</f>
        <v>34219</v>
      </c>
      <c r="C19" s="11">
        <f>'Raw Financials'!C38</f>
        <v>36009</v>
      </c>
    </row>
    <row r="20" spans="1:3" ht="48" x14ac:dyDescent="0.2">
      <c r="A20" s="3" t="s">
        <v>41</v>
      </c>
      <c r="B20" s="11">
        <f>'Raw Financials'!B39</f>
        <v>100975</v>
      </c>
      <c r="C20" s="11">
        <f>'Raw Financials'!C39</f>
        <v>95064</v>
      </c>
    </row>
    <row r="21" spans="1:3" ht="32" x14ac:dyDescent="0.2">
      <c r="A21" s="3" t="s">
        <v>42</v>
      </c>
      <c r="B21" s="11">
        <f>'Raw Financials'!B40</f>
        <v>121310</v>
      </c>
      <c r="C21" s="11">
        <f>'Raw Financials'!C40</f>
        <v>180430</v>
      </c>
    </row>
    <row r="22" spans="1:3" s="1" customFormat="1" ht="32" x14ac:dyDescent="0.2">
      <c r="A22" s="18" t="s">
        <v>43</v>
      </c>
      <c r="B22" s="24">
        <f>SUM(B16:B21)</f>
        <v>430154</v>
      </c>
      <c r="C22" s="24">
        <f>SUM(C16:C21)</f>
        <v>472707</v>
      </c>
    </row>
    <row r="23" spans="1:3" x14ac:dyDescent="0.2">
      <c r="A23" s="3"/>
    </row>
    <row r="24" spans="1:3" ht="16" x14ac:dyDescent="0.2">
      <c r="A24" s="3" t="s">
        <v>44</v>
      </c>
      <c r="B24" s="4">
        <f>'Raw Financials'!B43</f>
        <v>926244</v>
      </c>
      <c r="C24" s="4">
        <f>'Raw Financials'!C43</f>
        <v>753081</v>
      </c>
    </row>
    <row r="25" spans="1:3" ht="32" x14ac:dyDescent="0.2">
      <c r="A25" s="3" t="s">
        <v>32</v>
      </c>
      <c r="B25" s="4">
        <f>'Raw Financials'!B44</f>
        <v>7604</v>
      </c>
      <c r="C25" s="4">
        <f>'Raw Financials'!C44</f>
        <v>8107</v>
      </c>
    </row>
    <row r="26" spans="1:3" ht="64" x14ac:dyDescent="0.2">
      <c r="A26" s="3" t="s">
        <v>45</v>
      </c>
      <c r="B26" s="4">
        <f>'Raw Financials'!B45</f>
        <v>68756</v>
      </c>
      <c r="C26" s="4">
        <f>'Raw Financials'!C45</f>
        <v>74410</v>
      </c>
    </row>
    <row r="27" spans="1:3" ht="32" x14ac:dyDescent="0.2">
      <c r="A27" s="3" t="s">
        <v>46</v>
      </c>
      <c r="B27" s="4">
        <f>'Raw Financials'!B46</f>
        <v>124605</v>
      </c>
      <c r="C27" s="4">
        <f>'Raw Financials'!C46</f>
        <v>74737</v>
      </c>
    </row>
    <row r="28" spans="1:3" s="1" customFormat="1" ht="16" x14ac:dyDescent="0.2">
      <c r="A28" s="18" t="s">
        <v>47</v>
      </c>
      <c r="B28" s="19">
        <f>SUM(B22:B27)</f>
        <v>1557363</v>
      </c>
      <c r="C28" s="19">
        <f>SUM(C22:C27)</f>
        <v>1383042</v>
      </c>
    </row>
    <row r="29" spans="1:3" x14ac:dyDescent="0.2">
      <c r="A29" s="3"/>
      <c r="B29" s="4"/>
      <c r="C29" s="4"/>
    </row>
    <row r="30" spans="1:3" ht="48" x14ac:dyDescent="0.2">
      <c r="A30" s="3" t="s">
        <v>48</v>
      </c>
      <c r="B30" s="4">
        <f>'Raw Financials'!B48</f>
        <v>1770</v>
      </c>
      <c r="C30" s="4">
        <f>'Raw Financials'!C48</f>
        <v>4028</v>
      </c>
    </row>
    <row r="31" spans="1:3" x14ac:dyDescent="0.2">
      <c r="A31" s="3"/>
      <c r="B31" s="4"/>
      <c r="C31" s="4"/>
    </row>
    <row r="32" spans="1:3" ht="32" x14ac:dyDescent="0.2">
      <c r="A32" s="2" t="s">
        <v>49</v>
      </c>
    </row>
    <row r="33" spans="1:3" ht="16" x14ac:dyDescent="0.2">
      <c r="A33" s="3" t="s">
        <v>50</v>
      </c>
      <c r="B33" s="4">
        <f>'Raw Financials'!B50</f>
        <v>58</v>
      </c>
      <c r="C33" s="4">
        <f>'Raw Financials'!C50</f>
        <v>61</v>
      </c>
    </row>
    <row r="34" spans="1:3" ht="32" x14ac:dyDescent="0.2">
      <c r="A34" s="3" t="s">
        <v>51</v>
      </c>
      <c r="B34" s="4">
        <f>'Raw Financials'!B51</f>
        <v>763828</v>
      </c>
      <c r="C34" s="4">
        <f>'Raw Financials'!C51</f>
        <v>787725</v>
      </c>
    </row>
    <row r="35" spans="1:3" ht="48" x14ac:dyDescent="0.2">
      <c r="A35" s="3" t="s">
        <v>52</v>
      </c>
      <c r="B35" s="11">
        <f>'Raw Financials'!B52</f>
        <v>-122281</v>
      </c>
      <c r="C35" s="11">
        <f>'Raw Financials'!C52</f>
        <v>-140315</v>
      </c>
    </row>
    <row r="36" spans="1:3" ht="16" x14ac:dyDescent="0.2">
      <c r="A36" s="3" t="s">
        <v>53</v>
      </c>
      <c r="B36" s="11">
        <f>'Raw Financials'!B53</f>
        <v>141961</v>
      </c>
      <c r="C36" s="11">
        <f>'Raw Financials'!C53</f>
        <v>180276</v>
      </c>
    </row>
    <row r="37" spans="1:3" ht="32" x14ac:dyDescent="0.2">
      <c r="A37" s="3" t="s">
        <v>54</v>
      </c>
      <c r="B37" s="11">
        <f>'Raw Financials'!B54</f>
        <v>0</v>
      </c>
      <c r="C37" s="11">
        <f>'Raw Financials'!C54</f>
        <v>-62500</v>
      </c>
    </row>
    <row r="38" spans="1:3" s="1" customFormat="1" ht="64" x14ac:dyDescent="0.2">
      <c r="A38" s="2" t="s">
        <v>55</v>
      </c>
      <c r="B38" s="12">
        <f>SUM(B33:B37)</f>
        <v>783566</v>
      </c>
      <c r="C38" s="12">
        <f>SUM(C33:C37)</f>
        <v>765247</v>
      </c>
    </row>
    <row r="39" spans="1:3" ht="32" x14ac:dyDescent="0.2">
      <c r="A39" s="3" t="s">
        <v>56</v>
      </c>
      <c r="B39" s="11">
        <f>'Raw Financials'!B56</f>
        <v>0</v>
      </c>
      <c r="C39" s="11">
        <f>'Raw Financials'!C56</f>
        <v>27889</v>
      </c>
    </row>
    <row r="40" spans="1:3" s="1" customFormat="1" ht="32" x14ac:dyDescent="0.2">
      <c r="A40" s="18" t="s">
        <v>57</v>
      </c>
      <c r="B40" s="24">
        <f>B38+B39</f>
        <v>783566</v>
      </c>
      <c r="C40" s="24">
        <f>C38+C39</f>
        <v>793136</v>
      </c>
    </row>
    <row r="41" spans="1:3" s="1" customFormat="1" ht="97" thickBot="1" x14ac:dyDescent="0.25">
      <c r="A41" s="21" t="s">
        <v>58</v>
      </c>
      <c r="B41" s="22">
        <f>B28+B30+B40</f>
        <v>2342699</v>
      </c>
      <c r="C41" s="22">
        <f>C28+C30+C40</f>
        <v>2180206</v>
      </c>
    </row>
    <row r="42" spans="1:3" ht="16" thickTop="1" x14ac:dyDescent="0.2"/>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D4A3FC-0054-4F14-AB21-FE5C7E9EFD3D}">
  <dimension ref="A1:D42"/>
  <sheetViews>
    <sheetView topLeftCell="A26" workbookViewId="0">
      <selection activeCell="E27" sqref="E27"/>
    </sheetView>
  </sheetViews>
  <sheetFormatPr baseColWidth="10" defaultColWidth="8.83203125" defaultRowHeight="15" x14ac:dyDescent="0.2"/>
  <cols>
    <col min="1" max="1" width="17.83203125" customWidth="1"/>
    <col min="2" max="3" width="14.1640625" bestFit="1" customWidth="1"/>
    <col min="4" max="4" width="13.1640625" customWidth="1"/>
  </cols>
  <sheetData>
    <row r="1" spans="1:4" ht="32" x14ac:dyDescent="0.2">
      <c r="A1" s="2" t="s">
        <v>60</v>
      </c>
    </row>
    <row r="2" spans="1:4" ht="16" x14ac:dyDescent="0.2">
      <c r="A2" s="17" t="s">
        <v>0</v>
      </c>
      <c r="B2" s="33">
        <v>2025</v>
      </c>
      <c r="C2" s="33">
        <v>2024</v>
      </c>
      <c r="D2" s="33">
        <v>2023</v>
      </c>
    </row>
    <row r="3" spans="1:4" ht="32" x14ac:dyDescent="0.2">
      <c r="A3" s="2" t="s">
        <v>61</v>
      </c>
    </row>
    <row r="4" spans="1:4" ht="16" x14ac:dyDescent="0.2">
      <c r="A4" s="34" t="s">
        <v>4</v>
      </c>
      <c r="B4" s="6">
        <f>'Raw Financials'!B65</f>
        <v>187160</v>
      </c>
      <c r="C4" s="6">
        <f>'Raw Financials'!C65</f>
        <v>201842</v>
      </c>
      <c r="D4" s="6">
        <f>'Raw Financials'!D65</f>
        <v>198607</v>
      </c>
    </row>
    <row r="5" spans="1:4" ht="32" x14ac:dyDescent="0.2">
      <c r="A5" s="3" t="s">
        <v>62</v>
      </c>
      <c r="B5" s="11">
        <f>'Raw Financials'!B66</f>
        <v>55292</v>
      </c>
      <c r="C5" s="11">
        <f>'Raw Financials'!C66</f>
        <v>55888</v>
      </c>
      <c r="D5" s="11">
        <f>'Raw Financials'!D66</f>
        <v>51356</v>
      </c>
    </row>
    <row r="6" spans="1:4" ht="32" x14ac:dyDescent="0.2">
      <c r="A6" s="3" t="s">
        <v>63</v>
      </c>
      <c r="B6" s="11">
        <f>'Raw Financials'!B67</f>
        <v>-2823</v>
      </c>
      <c r="C6" s="11">
        <f>'Raw Financials'!C67</f>
        <v>-2856</v>
      </c>
      <c r="D6" s="11">
        <f>'Raw Financials'!D67</f>
        <v>1507</v>
      </c>
    </row>
    <row r="7" spans="1:4" ht="32" x14ac:dyDescent="0.2">
      <c r="A7" s="3" t="s">
        <v>64</v>
      </c>
      <c r="B7" s="11">
        <f>'Raw Financials'!B68</f>
        <v>1757</v>
      </c>
      <c r="C7" s="11">
        <f>'Raw Financials'!C68</f>
        <v>1754</v>
      </c>
      <c r="D7" s="11">
        <f>'Raw Financials'!D68</f>
        <v>927</v>
      </c>
    </row>
    <row r="8" spans="1:4" ht="32" x14ac:dyDescent="0.2">
      <c r="A8" s="3" t="s">
        <v>65</v>
      </c>
      <c r="B8" s="11">
        <f>'Raw Financials'!B69</f>
        <v>28580</v>
      </c>
      <c r="C8" s="11">
        <f>'Raw Financials'!C69</f>
        <v>30792</v>
      </c>
      <c r="D8" s="11">
        <f>'Raw Financials'!D69</f>
        <v>29709</v>
      </c>
    </row>
    <row r="9" spans="1:4" ht="48" x14ac:dyDescent="0.2">
      <c r="A9" s="3" t="s">
        <v>66</v>
      </c>
      <c r="B9" s="11">
        <f>'Raw Financials'!B70</f>
        <v>725</v>
      </c>
      <c r="C9" s="11">
        <f>'Raw Financials'!C70</f>
        <v>902</v>
      </c>
      <c r="D9" s="11">
        <f>'Raw Financials'!D70</f>
        <v>99</v>
      </c>
    </row>
    <row r="10" spans="1:4" ht="48" x14ac:dyDescent="0.2">
      <c r="A10" s="3" t="s">
        <v>67</v>
      </c>
      <c r="B10" s="11">
        <f>'Raw Financials'!B71</f>
        <v>-20887</v>
      </c>
      <c r="C10" s="11">
        <f>'Raw Financials'!C71</f>
        <v>0</v>
      </c>
      <c r="D10" s="11">
        <f>'Raw Financials'!D71</f>
        <v>0</v>
      </c>
    </row>
    <row r="11" spans="1:4" ht="48" x14ac:dyDescent="0.2">
      <c r="A11" s="3" t="s">
        <v>68</v>
      </c>
      <c r="B11" s="11">
        <f>'Raw Financials'!B72</f>
        <v>1113</v>
      </c>
      <c r="C11" s="11">
        <f>'Raw Financials'!C72</f>
        <v>0</v>
      </c>
      <c r="D11" s="11">
        <f>'Raw Financials'!D72</f>
        <v>0</v>
      </c>
    </row>
    <row r="12" spans="1:4" ht="48" x14ac:dyDescent="0.2">
      <c r="A12" s="3" t="s">
        <v>69</v>
      </c>
      <c r="B12" s="11">
        <f>'Raw Financials'!B73</f>
        <v>16970</v>
      </c>
      <c r="C12" s="11">
        <f>'Raw Financials'!C73</f>
        <v>0</v>
      </c>
      <c r="D12" s="11">
        <f>'Raw Financials'!D73</f>
        <v>0</v>
      </c>
    </row>
    <row r="13" spans="1:4" ht="16" x14ac:dyDescent="0.2">
      <c r="A13" s="3" t="s">
        <v>70</v>
      </c>
      <c r="B13" s="11">
        <f>'Raw Financials'!B74</f>
        <v>13941</v>
      </c>
      <c r="C13" s="11">
        <f>'Raw Financials'!C74</f>
        <v>915</v>
      </c>
      <c r="D13" s="11">
        <f>'Raw Financials'!D74</f>
        <v>15413</v>
      </c>
    </row>
    <row r="14" spans="1:4" ht="32" x14ac:dyDescent="0.2">
      <c r="A14" s="3" t="s">
        <v>71</v>
      </c>
      <c r="B14" s="11"/>
      <c r="C14" s="11"/>
      <c r="D14" s="11"/>
    </row>
    <row r="15" spans="1:4" ht="16" x14ac:dyDescent="0.2">
      <c r="A15" s="3" t="s">
        <v>72</v>
      </c>
      <c r="B15" s="11">
        <f>'Raw Financials'!B76</f>
        <v>11962</v>
      </c>
      <c r="C15" s="11">
        <f>'Raw Financials'!C76</f>
        <v>-26799</v>
      </c>
      <c r="D15" s="11">
        <f>'Raw Financials'!D76</f>
        <v>13785</v>
      </c>
    </row>
    <row r="16" spans="1:4" ht="16" x14ac:dyDescent="0.2">
      <c r="A16" s="3" t="s">
        <v>26</v>
      </c>
      <c r="B16" s="11">
        <f>'Raw Financials'!B77</f>
        <v>-20393</v>
      </c>
      <c r="C16" s="11">
        <f>'Raw Financials'!C77</f>
        <v>21659</v>
      </c>
      <c r="D16" s="11">
        <f>'Raw Financials'!D77</f>
        <v>58897</v>
      </c>
    </row>
    <row r="17" spans="1:4" ht="16" x14ac:dyDescent="0.2">
      <c r="A17" s="3" t="s">
        <v>73</v>
      </c>
      <c r="B17" s="11">
        <f>'Raw Financials'!B78</f>
        <v>-1672</v>
      </c>
      <c r="C17" s="11">
        <f>'Raw Financials'!C78</f>
        <v>1875</v>
      </c>
      <c r="D17" s="11">
        <f>'Raw Financials'!D78</f>
        <v>-12105</v>
      </c>
    </row>
    <row r="18" spans="1:4" ht="16" x14ac:dyDescent="0.2">
      <c r="A18" s="3" t="s">
        <v>74</v>
      </c>
      <c r="B18" s="11">
        <f>'Raw Financials'!B79</f>
        <v>-5086</v>
      </c>
      <c r="C18" s="11">
        <f>'Raw Financials'!C79</f>
        <v>-8222</v>
      </c>
      <c r="D18" s="11">
        <f>'Raw Financials'!D79</f>
        <v>6221</v>
      </c>
    </row>
    <row r="19" spans="1:4" ht="32" x14ac:dyDescent="0.2">
      <c r="A19" s="3" t="s">
        <v>75</v>
      </c>
      <c r="B19" s="11">
        <f>'Raw Financials'!B80</f>
        <v>-72269</v>
      </c>
      <c r="C19" s="11">
        <f>'Raw Financials'!C80</f>
        <v>-32642</v>
      </c>
      <c r="D19" s="11">
        <f>'Raw Financials'!D80</f>
        <v>7411</v>
      </c>
    </row>
    <row r="20" spans="1:4" ht="35" customHeight="1" x14ac:dyDescent="0.2">
      <c r="A20" s="31" t="s">
        <v>76</v>
      </c>
      <c r="B20" s="35">
        <f>SUM(B4:B19)</f>
        <v>194370</v>
      </c>
      <c r="C20" s="35">
        <f>SUM(C4:C19)</f>
        <v>245108</v>
      </c>
      <c r="D20" s="35">
        <f>SUM(D4:D19)</f>
        <v>371827</v>
      </c>
    </row>
    <row r="21" spans="1:4" ht="32" x14ac:dyDescent="0.2">
      <c r="A21" s="2" t="s">
        <v>77</v>
      </c>
    </row>
    <row r="22" spans="1:4" ht="36" customHeight="1" x14ac:dyDescent="0.2">
      <c r="A22" s="3" t="s">
        <v>78</v>
      </c>
      <c r="B22" s="11">
        <f>'Raw Financials'!B83</f>
        <v>-74342</v>
      </c>
      <c r="C22" s="11">
        <f>'Raw Financials'!C83</f>
        <v>-74624</v>
      </c>
      <c r="D22" s="11">
        <f>'Raw Financials'!D83</f>
        <v>-75364</v>
      </c>
    </row>
    <row r="23" spans="1:4" ht="48" x14ac:dyDescent="0.2">
      <c r="A23" s="3" t="s">
        <v>79</v>
      </c>
      <c r="B23" s="11">
        <f>'Raw Financials'!B84</f>
        <v>0</v>
      </c>
      <c r="C23" s="11">
        <f>'Raw Financials'!C84</f>
        <v>0</v>
      </c>
      <c r="D23" s="11">
        <f>'Raw Financials'!D84</f>
        <v>-25235</v>
      </c>
    </row>
    <row r="24" spans="1:4" ht="16" x14ac:dyDescent="0.2">
      <c r="A24" s="3" t="s">
        <v>80</v>
      </c>
      <c r="B24" s="11">
        <f>'Raw Financials'!B85</f>
        <v>0</v>
      </c>
      <c r="C24" s="11">
        <f>'Raw Financials'!C85</f>
        <v>0</v>
      </c>
      <c r="D24" s="11">
        <f>'Raw Financials'!D85</f>
        <v>-887</v>
      </c>
    </row>
    <row r="25" spans="1:4" ht="32" x14ac:dyDescent="0.2">
      <c r="A25" s="31" t="s">
        <v>81</v>
      </c>
      <c r="B25" s="36">
        <f>SUM(B22:B24)</f>
        <v>-74342</v>
      </c>
      <c r="C25" s="36">
        <f t="shared" ref="C25:D25" si="0">SUM(C22:C24)</f>
        <v>-74624</v>
      </c>
      <c r="D25" s="36">
        <f t="shared" si="0"/>
        <v>-101486</v>
      </c>
    </row>
    <row r="26" spans="1:4" ht="32" x14ac:dyDescent="0.2">
      <c r="A26" s="2" t="s">
        <v>82</v>
      </c>
    </row>
    <row r="27" spans="1:4" ht="32" x14ac:dyDescent="0.2">
      <c r="A27" s="3" t="s">
        <v>83</v>
      </c>
      <c r="B27" s="11">
        <f>'Raw Financials'!B88</f>
        <v>1780933</v>
      </c>
      <c r="C27" s="11">
        <f>'Raw Financials'!C88</f>
        <v>1243120</v>
      </c>
      <c r="D27" s="11">
        <f>'Raw Financials'!D88</f>
        <v>1527896</v>
      </c>
    </row>
    <row r="28" spans="1:4" ht="32" x14ac:dyDescent="0.2">
      <c r="A28" s="3" t="s">
        <v>84</v>
      </c>
      <c r="B28" s="11">
        <f>'Raw Financials'!B89</f>
        <v>-1752274</v>
      </c>
      <c r="C28" s="11">
        <f>'Raw Financials'!C89</f>
        <v>-1178799</v>
      </c>
      <c r="D28" s="11">
        <f>'Raw Financials'!D89</f>
        <v>-1739308</v>
      </c>
    </row>
    <row r="29" spans="1:4" ht="48" x14ac:dyDescent="0.2">
      <c r="A29" s="3" t="s">
        <v>85</v>
      </c>
      <c r="B29" s="11">
        <f>'Raw Financials'!B90</f>
        <v>500000</v>
      </c>
      <c r="C29" s="11">
        <f>'Raw Financials'!C90</f>
        <v>0</v>
      </c>
      <c r="D29" s="11">
        <f>'Raw Financials'!D90</f>
        <v>350000</v>
      </c>
    </row>
    <row r="30" spans="1:4" ht="48" x14ac:dyDescent="0.2">
      <c r="A30" s="3" t="s">
        <v>86</v>
      </c>
      <c r="B30" s="11">
        <f>'Raw Financials'!B91</f>
        <v>-350000</v>
      </c>
      <c r="C30" s="11">
        <f>'Raw Financials'!C91</f>
        <v>0</v>
      </c>
      <c r="D30" s="11">
        <f>'Raw Financials'!D91</f>
        <v>0</v>
      </c>
    </row>
    <row r="31" spans="1:4" ht="48" x14ac:dyDescent="0.2">
      <c r="A31" s="3" t="s">
        <v>87</v>
      </c>
      <c r="B31" s="11">
        <f>'Raw Financials'!B92</f>
        <v>-12908</v>
      </c>
      <c r="C31" s="11">
        <f>'Raw Financials'!C92</f>
        <v>0</v>
      </c>
      <c r="D31" s="11">
        <f>'Raw Financials'!D92</f>
        <v>0</v>
      </c>
    </row>
    <row r="32" spans="1:4" ht="32" x14ac:dyDescent="0.2">
      <c r="A32" s="3" t="s">
        <v>88</v>
      </c>
      <c r="B32" s="11">
        <f>'Raw Financials'!B93</f>
        <v>-9592</v>
      </c>
      <c r="C32" s="11">
        <f>'Raw Financials'!C93</f>
        <v>0</v>
      </c>
      <c r="D32" s="11">
        <f>'Raw Financials'!D93</f>
        <v>-6328</v>
      </c>
    </row>
    <row r="33" spans="1:4" ht="32" x14ac:dyDescent="0.2">
      <c r="A33" s="3" t="s">
        <v>89</v>
      </c>
      <c r="B33" s="11">
        <f>'Raw Financials'!B94</f>
        <v>-211524</v>
      </c>
      <c r="C33" s="11">
        <f>'Raw Financials'!C94</f>
        <v>-172799</v>
      </c>
      <c r="D33" s="11">
        <f>'Raw Financials'!D94</f>
        <v>-334088</v>
      </c>
    </row>
    <row r="34" spans="1:4" ht="32" x14ac:dyDescent="0.2">
      <c r="A34" s="3" t="s">
        <v>90</v>
      </c>
      <c r="B34" s="11">
        <f>'Raw Financials'!B95</f>
        <v>-56156</v>
      </c>
      <c r="C34" s="11">
        <f>'Raw Financials'!C95</f>
        <v>-54291</v>
      </c>
      <c r="D34" s="11">
        <f>'Raw Financials'!D95</f>
        <v>-52480</v>
      </c>
    </row>
    <row r="35" spans="1:4" ht="48" x14ac:dyDescent="0.2">
      <c r="A35" s="3" t="s">
        <v>91</v>
      </c>
      <c r="B35" s="11">
        <f>'Raw Financials'!B96</f>
        <v>-11560</v>
      </c>
      <c r="C35" s="11">
        <f>'Raw Financials'!C96</f>
        <v>-16914</v>
      </c>
      <c r="D35" s="11">
        <f>'Raw Financials'!D96</f>
        <v>-11495</v>
      </c>
    </row>
    <row r="36" spans="1:4" ht="16" x14ac:dyDescent="0.2">
      <c r="A36" s="3" t="s">
        <v>80</v>
      </c>
      <c r="B36" s="11">
        <f>'Raw Financials'!B97</f>
        <v>-1742</v>
      </c>
      <c r="C36" s="11">
        <f>'Raw Financials'!C97</f>
        <v>0</v>
      </c>
      <c r="D36" s="11">
        <f>'Raw Financials'!D97</f>
        <v>1078</v>
      </c>
    </row>
    <row r="37" spans="1:4" ht="32" x14ac:dyDescent="0.2">
      <c r="A37" s="31" t="s">
        <v>92</v>
      </c>
      <c r="B37" s="36">
        <f>SUM(B27:B36)</f>
        <v>-124823</v>
      </c>
      <c r="C37" s="36">
        <f t="shared" ref="C37:D37" si="1">SUM(C27:C36)</f>
        <v>-179683</v>
      </c>
      <c r="D37" s="36">
        <f t="shared" si="1"/>
        <v>-264725</v>
      </c>
    </row>
    <row r="38" spans="1:4" ht="32" x14ac:dyDescent="0.2">
      <c r="A38" s="3" t="s">
        <v>93</v>
      </c>
      <c r="B38" s="11">
        <f>'Raw Financials'!B99</f>
        <v>1824</v>
      </c>
      <c r="C38" s="11">
        <f>'Raw Financials'!C99</f>
        <v>-3177</v>
      </c>
      <c r="D38" s="11">
        <f>'Raw Financials'!D99</f>
        <v>915</v>
      </c>
    </row>
    <row r="39" spans="1:4" ht="32" x14ac:dyDescent="0.2">
      <c r="A39" s="3" t="s">
        <v>94</v>
      </c>
      <c r="B39" s="11">
        <f>B20+B25+B37+B38</f>
        <v>-2971</v>
      </c>
      <c r="C39" s="11">
        <f t="shared" ref="C39:D39" si="2">C20+C25+C37+C38</f>
        <v>-12376</v>
      </c>
      <c r="D39" s="11">
        <f t="shared" si="2"/>
        <v>6531</v>
      </c>
    </row>
    <row r="40" spans="1:4" ht="16" x14ac:dyDescent="0.2">
      <c r="A40" s="3" t="s">
        <v>95</v>
      </c>
      <c r="B40" s="11">
        <f>'Raw Financials'!B101</f>
        <v>53059</v>
      </c>
      <c r="C40" s="11">
        <f>'Raw Financials'!C101</f>
        <v>65435</v>
      </c>
      <c r="D40" s="11">
        <f>'Raw Financials'!D101</f>
        <v>58904</v>
      </c>
    </row>
    <row r="41" spans="1:4" ht="17" thickBot="1" x14ac:dyDescent="0.25">
      <c r="A41" s="39" t="s">
        <v>96</v>
      </c>
      <c r="B41" s="40">
        <f>SUM(B40+B39)</f>
        <v>50088</v>
      </c>
      <c r="C41" s="40">
        <f t="shared" ref="C41:D41" si="3">SUM(C40+C39)</f>
        <v>53059</v>
      </c>
      <c r="D41" s="40">
        <f t="shared" si="3"/>
        <v>65435</v>
      </c>
    </row>
    <row r="42" spans="1:4" ht="16" thickTop="1" x14ac:dyDescent="0.2">
      <c r="A42" s="1"/>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1A8C2F-D157-49D6-896E-34E1A82E7C50}">
  <dimension ref="A1:E67"/>
  <sheetViews>
    <sheetView topLeftCell="A35" workbookViewId="0">
      <selection activeCell="B69" sqref="B69"/>
    </sheetView>
  </sheetViews>
  <sheetFormatPr baseColWidth="10" defaultColWidth="8.83203125" defaultRowHeight="15" x14ac:dyDescent="0.2"/>
  <cols>
    <col min="1" max="1" width="18.1640625" style="3" customWidth="1"/>
    <col min="2" max="2" width="12.1640625" bestFit="1" customWidth="1"/>
    <col min="5" max="5" width="12.5" customWidth="1"/>
  </cols>
  <sheetData>
    <row r="1" spans="1:5" ht="32" x14ac:dyDescent="0.2">
      <c r="A1" s="2" t="s">
        <v>97</v>
      </c>
    </row>
    <row r="3" spans="1:5" s="1" customFormat="1" ht="16" x14ac:dyDescent="0.2">
      <c r="A3" s="14" t="s">
        <v>0</v>
      </c>
      <c r="B3" s="25">
        <v>2025</v>
      </c>
      <c r="C3" s="25">
        <v>2024</v>
      </c>
      <c r="D3" s="25">
        <v>2023</v>
      </c>
      <c r="E3" s="25" t="s">
        <v>101</v>
      </c>
    </row>
    <row r="5" spans="1:5" ht="16" x14ac:dyDescent="0.2">
      <c r="A5" s="2" t="s">
        <v>98</v>
      </c>
    </row>
    <row r="6" spans="1:5" ht="16" x14ac:dyDescent="0.2">
      <c r="A6" s="42" t="s">
        <v>17</v>
      </c>
      <c r="B6" s="43">
        <f>'Income Statement'!B6/'Income Statement'!B4</f>
        <v>0.4772891239013104</v>
      </c>
      <c r="C6" s="43">
        <f>'Income Statement'!C6/'Income Statement'!C4</f>
        <v>0.48338746916577369</v>
      </c>
      <c r="D6" s="43">
        <f>'Income Statement'!D6/'Income Statement'!D4</f>
        <v>0.4702096352007456</v>
      </c>
      <c r="E6" s="5">
        <f>B6-C6</f>
        <v>-6.0983452644632896E-3</v>
      </c>
    </row>
    <row r="7" spans="1:5" ht="16" x14ac:dyDescent="0.2">
      <c r="A7" s="3" t="s">
        <v>99</v>
      </c>
      <c r="B7" s="43">
        <f>'Income Statement'!B10/'Income Statement'!B4</f>
        <v>0.11702211644057794</v>
      </c>
      <c r="C7" s="43">
        <f>'Income Statement'!C10/'Income Statement'!C4</f>
        <v>0.1238301715321085</v>
      </c>
      <c r="D7" s="43">
        <f>'Income Statement'!D10/'Income Statement'!D4</f>
        <v>0.1197756502427587</v>
      </c>
      <c r="E7" s="5">
        <f t="shared" ref="E7:E8" si="0">B7-C7</f>
        <v>-6.8080550915305543E-3</v>
      </c>
    </row>
    <row r="8" spans="1:5" ht="16" x14ac:dyDescent="0.2">
      <c r="A8" s="3" t="s">
        <v>100</v>
      </c>
      <c r="B8" s="43">
        <f>'Income Statement'!B16/'Income Statement'!B4</f>
        <v>7.3145662105810305E-2</v>
      </c>
      <c r="C8" s="43">
        <f>'Income Statement'!C16/'Income Statement'!C4</f>
        <v>8.2146733678158446E-2</v>
      </c>
      <c r="D8" s="43">
        <f>'Income Statement'!D16/'Income Statement'!D4</f>
        <v>8.3378428586122141E-2</v>
      </c>
      <c r="E8" s="5">
        <f t="shared" si="0"/>
        <v>-9.0010715723481405E-3</v>
      </c>
    </row>
    <row r="10" spans="1:5" ht="16" x14ac:dyDescent="0.2">
      <c r="A10" s="2" t="s">
        <v>102</v>
      </c>
    </row>
    <row r="11" spans="1:5" ht="97" thickBot="1" x14ac:dyDescent="0.25">
      <c r="A11" s="26" t="s">
        <v>103</v>
      </c>
      <c r="B11" s="41"/>
      <c r="C11" s="41"/>
      <c r="D11" s="41"/>
      <c r="E11" s="41"/>
    </row>
    <row r="12" spans="1:5" ht="16" thickTop="1" x14ac:dyDescent="0.2"/>
    <row r="13" spans="1:5" ht="16" x14ac:dyDescent="0.2">
      <c r="A13" s="2" t="s">
        <v>104</v>
      </c>
      <c r="B13" s="1"/>
      <c r="C13" s="1"/>
      <c r="D13" s="1"/>
      <c r="E13" s="1"/>
    </row>
    <row r="14" spans="1:5" ht="16" x14ac:dyDescent="0.2">
      <c r="A14" s="3" t="s">
        <v>105</v>
      </c>
      <c r="B14" s="9">
        <f>'Balance Sheet'!B8/'Balance Sheet'!B22</f>
        <v>2.3837300129720984</v>
      </c>
      <c r="C14" s="9">
        <f>'Balance Sheet'!C8/'Balance Sheet'!C22</f>
        <v>2.0602043126080214</v>
      </c>
      <c r="D14" s="9"/>
      <c r="E14" s="9">
        <f>B14-C14</f>
        <v>0.32352570036407702</v>
      </c>
    </row>
    <row r="15" spans="1:5" ht="16" x14ac:dyDescent="0.2">
      <c r="A15" s="3" t="s">
        <v>106</v>
      </c>
      <c r="B15" s="9">
        <f>('Balance Sheet'!B8-'Balance Sheet'!B6)/'Balance Sheet'!B22</f>
        <v>0.96895530437936184</v>
      </c>
      <c r="C15" s="9">
        <f>('Balance Sheet'!C8-'Balance Sheet'!C6)/'Balance Sheet'!C22</f>
        <v>0.84176667576321063</v>
      </c>
      <c r="E15" s="9">
        <f>B15-C15</f>
        <v>0.12718862861615121</v>
      </c>
    </row>
    <row r="17" spans="1:5" ht="16" x14ac:dyDescent="0.2">
      <c r="A17" s="2" t="s">
        <v>18</v>
      </c>
    </row>
    <row r="18" spans="1:5" ht="145" thickBot="1" x14ac:dyDescent="0.25">
      <c r="A18" s="26" t="s">
        <v>107</v>
      </c>
      <c r="B18" s="41"/>
      <c r="C18" s="41"/>
      <c r="D18" s="41"/>
      <c r="E18" s="41"/>
    </row>
    <row r="19" spans="1:5" ht="16" thickTop="1" x14ac:dyDescent="0.2"/>
    <row r="20" spans="1:5" ht="16" x14ac:dyDescent="0.2">
      <c r="A20" s="2" t="s">
        <v>108</v>
      </c>
    </row>
    <row r="21" spans="1:5" ht="32" x14ac:dyDescent="0.2">
      <c r="A21" s="3" t="s">
        <v>109</v>
      </c>
      <c r="B21" s="43">
        <f>'Balance Sheet'!B28/'Balance Sheet'!B14</f>
        <v>0.66477298193237799</v>
      </c>
      <c r="C21" s="43">
        <f>'Balance Sheet'!C28/'Balance Sheet'!C14</f>
        <v>0.63436299138705243</v>
      </c>
      <c r="E21" s="43">
        <f>B21-C21</f>
        <v>3.040999054532556E-2</v>
      </c>
    </row>
    <row r="22" spans="1:5" ht="32" x14ac:dyDescent="0.2">
      <c r="A22" s="3" t="s">
        <v>110</v>
      </c>
      <c r="B22" s="9">
        <f>'Balance Sheet'!B28/'Balance Sheet'!B40</f>
        <v>1.987532639241621</v>
      </c>
      <c r="C22" s="9">
        <f>'Balance Sheet'!C28/'Balance Sheet'!C40</f>
        <v>1.7437639950777672</v>
      </c>
      <c r="E22" s="44">
        <f>B22-C22</f>
        <v>0.2437686441638538</v>
      </c>
    </row>
    <row r="24" spans="1:5" ht="16" x14ac:dyDescent="0.2">
      <c r="A24" s="2" t="s">
        <v>18</v>
      </c>
    </row>
    <row r="25" spans="1:5" ht="113" thickBot="1" x14ac:dyDescent="0.25">
      <c r="A25" s="26" t="s">
        <v>111</v>
      </c>
      <c r="B25" s="41"/>
      <c r="C25" s="41"/>
      <c r="D25" s="41"/>
      <c r="E25" s="41"/>
    </row>
    <row r="26" spans="1:5" ht="16" thickTop="1" x14ac:dyDescent="0.2"/>
    <row r="27" spans="1:5" ht="16" x14ac:dyDescent="0.2">
      <c r="A27" s="2" t="s">
        <v>112</v>
      </c>
    </row>
    <row r="28" spans="1:5" ht="16" x14ac:dyDescent="0.2">
      <c r="A28" s="3" t="s">
        <v>113</v>
      </c>
      <c r="B28" s="9">
        <f>'Income Statement'!B5/AVERAGE('Balance Sheet'!B6,'Balance Sheet'!C6)</f>
        <v>2.2582296006449787</v>
      </c>
      <c r="C28" s="9"/>
    </row>
    <row r="29" spans="1:5" ht="16" x14ac:dyDescent="0.2">
      <c r="A29" s="3" t="s">
        <v>114</v>
      </c>
      <c r="B29" s="9">
        <f>'Income Statement'!B4/AVERAGE('Balance Sheet'!B5,'Balance Sheet'!C5)</f>
        <v>11.741386905526698</v>
      </c>
    </row>
    <row r="30" spans="1:5" ht="16" x14ac:dyDescent="0.2">
      <c r="A30" s="3" t="s">
        <v>115</v>
      </c>
      <c r="B30" s="9">
        <f>'Income Statement'!B4/AVERAGE('Balance Sheet'!B14,'Balance Sheet'!C14)</f>
        <v>1.1314542312960365</v>
      </c>
    </row>
    <row r="32" spans="1:5" ht="16" x14ac:dyDescent="0.2">
      <c r="A32" s="2" t="s">
        <v>18</v>
      </c>
    </row>
    <row r="33" spans="1:5" ht="144" customHeight="1" thickBot="1" x14ac:dyDescent="0.25">
      <c r="A33" s="26" t="s">
        <v>116</v>
      </c>
      <c r="B33" s="41"/>
      <c r="C33" s="41"/>
      <c r="D33" s="41"/>
      <c r="E33" s="41"/>
    </row>
    <row r="34" spans="1:5" ht="16" thickTop="1" x14ac:dyDescent="0.2"/>
    <row r="35" spans="1:5" ht="16" x14ac:dyDescent="0.2">
      <c r="A35" s="2" t="s">
        <v>117</v>
      </c>
    </row>
    <row r="36" spans="1:5" ht="16" x14ac:dyDescent="0.2">
      <c r="A36" s="3" t="s">
        <v>118</v>
      </c>
      <c r="B36" s="43">
        <f>'Income Statement'!B16/AVERAGE('Balance Sheet'!B14,'Balance Sheet'!C14)</f>
        <v>8.276096889056922E-2</v>
      </c>
    </row>
    <row r="37" spans="1:5" ht="32" x14ac:dyDescent="0.2">
      <c r="A37" s="3" t="s">
        <v>119</v>
      </c>
      <c r="B37" s="43">
        <f>'Income Statement'!B18/AVERAGE('Balance Sheet'!B38,'Balance Sheet'!C38)</f>
        <v>0.24347032211119096</v>
      </c>
    </row>
    <row r="39" spans="1:5" ht="16" x14ac:dyDescent="0.2">
      <c r="A39" s="2" t="s">
        <v>18</v>
      </c>
    </row>
    <row r="40" spans="1:5" ht="209" thickBot="1" x14ac:dyDescent="0.25">
      <c r="A40" s="26" t="s">
        <v>120</v>
      </c>
      <c r="B40" s="41"/>
      <c r="C40" s="41"/>
      <c r="D40" s="41"/>
      <c r="E40" s="41"/>
    </row>
    <row r="41" spans="1:5" ht="16" thickTop="1" x14ac:dyDescent="0.2"/>
    <row r="42" spans="1:5" ht="16" x14ac:dyDescent="0.2">
      <c r="A42" s="2" t="s">
        <v>121</v>
      </c>
    </row>
    <row r="43" spans="1:5" ht="32" x14ac:dyDescent="0.2">
      <c r="A43" s="3" t="s">
        <v>122</v>
      </c>
      <c r="B43" s="43">
        <f>'Cash Flow'!B20/'Income Statement'!B4</f>
        <v>7.5963466250835374E-2</v>
      </c>
    </row>
    <row r="44" spans="1:5" ht="16" x14ac:dyDescent="0.2">
      <c r="A44" s="3" t="s">
        <v>123</v>
      </c>
      <c r="B44" s="6">
        <f>'Cash Flow'!B20+'Cash Flow'!B22</f>
        <v>120028</v>
      </c>
    </row>
    <row r="45" spans="1:5" ht="16" x14ac:dyDescent="0.2">
      <c r="A45" s="3" t="s">
        <v>124</v>
      </c>
      <c r="B45" s="43">
        <f>B44/'Income Statement'!B4</f>
        <v>4.690920886533554E-2</v>
      </c>
    </row>
    <row r="47" spans="1:5" ht="16" x14ac:dyDescent="0.2">
      <c r="A47" s="2" t="s">
        <v>18</v>
      </c>
    </row>
    <row r="48" spans="1:5" ht="145" thickBot="1" x14ac:dyDescent="0.25">
      <c r="A48" s="26" t="s">
        <v>125</v>
      </c>
      <c r="B48" s="41"/>
      <c r="C48" s="41"/>
      <c r="D48" s="41"/>
      <c r="E48" s="41"/>
    </row>
    <row r="49" spans="1:5" ht="16" thickTop="1" x14ac:dyDescent="0.2"/>
    <row r="50" spans="1:5" ht="32" x14ac:dyDescent="0.2">
      <c r="A50" s="2" t="s">
        <v>126</v>
      </c>
    </row>
    <row r="51" spans="1:5" ht="16" x14ac:dyDescent="0.2">
      <c r="A51" s="3" t="s">
        <v>98</v>
      </c>
    </row>
    <row r="52" spans="1:5" ht="83" customHeight="1" x14ac:dyDescent="0.2">
      <c r="A52" s="60" t="s">
        <v>127</v>
      </c>
      <c r="B52" s="60"/>
      <c r="C52" s="60"/>
      <c r="D52" s="60"/>
      <c r="E52" s="60"/>
    </row>
    <row r="54" spans="1:5" ht="16" x14ac:dyDescent="0.2">
      <c r="A54" s="3" t="s">
        <v>104</v>
      </c>
    </row>
    <row r="55" spans="1:5" ht="65" customHeight="1" x14ac:dyDescent="0.2">
      <c r="A55" s="60" t="s">
        <v>128</v>
      </c>
      <c r="B55" s="60"/>
      <c r="C55" s="60"/>
      <c r="D55" s="60"/>
      <c r="E55" s="60"/>
    </row>
    <row r="57" spans="1:5" ht="16" x14ac:dyDescent="0.2">
      <c r="A57" s="3" t="s">
        <v>129</v>
      </c>
    </row>
    <row r="58" spans="1:5" ht="67" customHeight="1" x14ac:dyDescent="0.2">
      <c r="A58" s="60" t="s">
        <v>130</v>
      </c>
      <c r="B58" s="60"/>
      <c r="C58" s="60"/>
      <c r="D58" s="60"/>
      <c r="E58" s="60"/>
    </row>
    <row r="60" spans="1:5" ht="16" x14ac:dyDescent="0.2">
      <c r="A60" s="3" t="s">
        <v>131</v>
      </c>
    </row>
    <row r="61" spans="1:5" ht="65" customHeight="1" x14ac:dyDescent="0.2">
      <c r="A61" s="60" t="s">
        <v>132</v>
      </c>
      <c r="B61" s="60"/>
      <c r="C61" s="60"/>
      <c r="D61" s="60"/>
      <c r="E61" s="60"/>
    </row>
    <row r="63" spans="1:5" ht="16" x14ac:dyDescent="0.2">
      <c r="A63" s="3" t="s">
        <v>133</v>
      </c>
    </row>
    <row r="64" spans="1:5" ht="50" customHeight="1" x14ac:dyDescent="0.2">
      <c r="A64" s="60" t="s">
        <v>134</v>
      </c>
      <c r="B64" s="60"/>
      <c r="C64" s="60"/>
      <c r="D64" s="60"/>
      <c r="E64" s="60"/>
    </row>
    <row r="66" spans="1:5" ht="16" x14ac:dyDescent="0.2">
      <c r="A66" s="3" t="s">
        <v>135</v>
      </c>
    </row>
    <row r="67" spans="1:5" ht="58" customHeight="1" x14ac:dyDescent="0.2">
      <c r="A67" s="60" t="s">
        <v>136</v>
      </c>
      <c r="B67" s="60"/>
      <c r="C67" s="60"/>
      <c r="D67" s="60"/>
      <c r="E67" s="60"/>
    </row>
  </sheetData>
  <mergeCells count="6">
    <mergeCell ref="A67:E67"/>
    <mergeCell ref="A52:E52"/>
    <mergeCell ref="A55:E55"/>
    <mergeCell ref="A58:E58"/>
    <mergeCell ref="A61:E61"/>
    <mergeCell ref="A64:E64"/>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8C0115-570D-440D-9EDB-4BA9478652FD}">
  <dimension ref="A1:E30"/>
  <sheetViews>
    <sheetView tabSelected="1" zoomScale="84" zoomScaleNormal="117" workbookViewId="0">
      <selection activeCell="A29" sqref="A29"/>
    </sheetView>
  </sheetViews>
  <sheetFormatPr baseColWidth="10" defaultColWidth="8.83203125" defaultRowHeight="15" x14ac:dyDescent="0.2"/>
  <cols>
    <col min="1" max="1" width="28.83203125" style="1" customWidth="1"/>
    <col min="2" max="3" width="16.83203125" customWidth="1"/>
    <col min="4" max="4" width="35.83203125" style="1" customWidth="1"/>
    <col min="5" max="5" width="16.83203125" customWidth="1"/>
  </cols>
  <sheetData>
    <row r="1" spans="1:5" ht="26" x14ac:dyDescent="0.3">
      <c r="A1" s="45" t="s">
        <v>137</v>
      </c>
    </row>
    <row r="2" spans="1:5" ht="19" x14ac:dyDescent="0.25">
      <c r="A2" s="46" t="s">
        <v>138</v>
      </c>
    </row>
    <row r="3" spans="1:5" x14ac:dyDescent="0.2">
      <c r="A3" s="1" t="s">
        <v>139</v>
      </c>
    </row>
    <row r="5" spans="1:5" ht="19" x14ac:dyDescent="0.25">
      <c r="A5" s="47" t="s">
        <v>140</v>
      </c>
      <c r="D5" s="47" t="s">
        <v>141</v>
      </c>
    </row>
    <row r="6" spans="1:5" x14ac:dyDescent="0.2">
      <c r="A6" t="s">
        <v>5</v>
      </c>
      <c r="B6" s="52">
        <f>'Income Statement'!B4</f>
        <v>2558730</v>
      </c>
      <c r="D6" t="s">
        <v>105</v>
      </c>
      <c r="E6" s="49">
        <f>'Ratios &amp; Analysis'!B14</f>
        <v>2.3837300129720984</v>
      </c>
    </row>
    <row r="7" spans="1:5" x14ac:dyDescent="0.2">
      <c r="A7" t="s">
        <v>4</v>
      </c>
      <c r="B7" s="50">
        <f>'Income Statement'!B16</f>
        <v>187160</v>
      </c>
      <c r="D7" t="s">
        <v>106</v>
      </c>
      <c r="E7" s="49">
        <f>'Ratios &amp; Analysis'!B15</f>
        <v>0.96895530437936184</v>
      </c>
    </row>
    <row r="8" spans="1:5" x14ac:dyDescent="0.2">
      <c r="A8" t="s">
        <v>17</v>
      </c>
      <c r="B8" s="48">
        <f>'Ratios &amp; Analysis'!B6</f>
        <v>0.4772891239013104</v>
      </c>
      <c r="D8" t="s">
        <v>142</v>
      </c>
      <c r="E8" s="48">
        <f>'Ratios &amp; Analysis'!B21</f>
        <v>0.66477298193237799</v>
      </c>
    </row>
    <row r="9" spans="1:5" x14ac:dyDescent="0.2">
      <c r="A9" t="s">
        <v>99</v>
      </c>
      <c r="B9" s="48">
        <f>'Ratios &amp; Analysis'!B7</f>
        <v>0.11702211644057794</v>
      </c>
      <c r="D9" t="s">
        <v>143</v>
      </c>
      <c r="E9" s="53">
        <f>'Ratios &amp; Analysis'!B22</f>
        <v>1.987532639241621</v>
      </c>
    </row>
    <row r="10" spans="1:5" x14ac:dyDescent="0.2">
      <c r="A10" t="s">
        <v>100</v>
      </c>
      <c r="B10" s="48">
        <f>'Ratios &amp; Analysis'!B8</f>
        <v>7.3145662105810305E-2</v>
      </c>
    </row>
    <row r="13" spans="1:5" ht="19" x14ac:dyDescent="0.25">
      <c r="A13" s="47" t="s">
        <v>144</v>
      </c>
      <c r="D13" s="47" t="s">
        <v>135</v>
      </c>
    </row>
    <row r="14" spans="1:5" x14ac:dyDescent="0.2">
      <c r="A14" t="s">
        <v>113</v>
      </c>
      <c r="B14" s="53">
        <f>'Ratios &amp; Analysis'!B28</f>
        <v>2.2582296006449787</v>
      </c>
      <c r="D14" t="s">
        <v>147</v>
      </c>
      <c r="E14" s="50">
        <f>'Cash Flow'!B20</f>
        <v>194370</v>
      </c>
    </row>
    <row r="15" spans="1:5" x14ac:dyDescent="0.2">
      <c r="A15" t="s">
        <v>114</v>
      </c>
      <c r="B15" s="53">
        <f>'Ratios &amp; Analysis'!B29</f>
        <v>11.741386905526698</v>
      </c>
      <c r="D15" t="s">
        <v>123</v>
      </c>
      <c r="E15" s="50">
        <f>'Ratios &amp; Analysis'!B44</f>
        <v>120028</v>
      </c>
    </row>
    <row r="16" spans="1:5" x14ac:dyDescent="0.2">
      <c r="A16" t="s">
        <v>115</v>
      </c>
      <c r="B16" s="53">
        <f>'Ratios &amp; Analysis'!B30</f>
        <v>1.1314542312960365</v>
      </c>
      <c r="D16" t="s">
        <v>122</v>
      </c>
      <c r="E16" s="48">
        <f>'Ratios &amp; Analysis'!B43</f>
        <v>7.5963466250835374E-2</v>
      </c>
    </row>
    <row r="17" spans="1:5" x14ac:dyDescent="0.2">
      <c r="A17" t="s">
        <v>145</v>
      </c>
      <c r="B17" s="48">
        <f>'Ratios &amp; Analysis'!B36</f>
        <v>8.276096889056922E-2</v>
      </c>
      <c r="D17" t="s">
        <v>124</v>
      </c>
      <c r="E17" s="48">
        <f>'Ratios &amp; Analysis'!B45</f>
        <v>4.690920886533554E-2</v>
      </c>
    </row>
    <row r="18" spans="1:5" x14ac:dyDescent="0.2">
      <c r="A18" t="s">
        <v>146</v>
      </c>
      <c r="B18" s="48">
        <f>'Ratios &amp; Analysis'!B37</f>
        <v>0.24347032211119096</v>
      </c>
    </row>
    <row r="21" spans="1:5" ht="19" x14ac:dyDescent="0.25">
      <c r="A21" s="47" t="s">
        <v>148</v>
      </c>
      <c r="B21" s="47">
        <v>2024</v>
      </c>
      <c r="C21" s="47">
        <v>2025</v>
      </c>
      <c r="D21" s="54" t="s">
        <v>149</v>
      </c>
    </row>
    <row r="22" spans="1:5" ht="32" x14ac:dyDescent="0.2">
      <c r="A22" t="s">
        <v>5</v>
      </c>
      <c r="B22" s="51">
        <f>'Income Statement'!C4</f>
        <v>2457091</v>
      </c>
      <c r="C22" s="51">
        <f>'Income Statement'!B4</f>
        <v>2558730</v>
      </c>
      <c r="D22" s="59" t="s">
        <v>150</v>
      </c>
    </row>
    <row r="23" spans="1:5" ht="16" x14ac:dyDescent="0.2">
      <c r="A23" t="s">
        <v>17</v>
      </c>
      <c r="B23" s="5">
        <f>'Ratios &amp; Analysis'!C6</f>
        <v>0.48338746916577369</v>
      </c>
      <c r="C23" s="5">
        <f>'Ratios &amp; Analysis'!B6</f>
        <v>0.4772891239013104</v>
      </c>
      <c r="D23" s="55" t="s">
        <v>151</v>
      </c>
    </row>
    <row r="24" spans="1:5" ht="32" x14ac:dyDescent="0.2">
      <c r="A24" t="s">
        <v>99</v>
      </c>
      <c r="B24" s="5">
        <f>'Ratios &amp; Analysis'!C7</f>
        <v>0.1238301715321085</v>
      </c>
      <c r="C24" s="5">
        <f>'Ratios &amp; Analysis'!B7</f>
        <v>0.11702211644057794</v>
      </c>
      <c r="D24" s="55" t="s">
        <v>152</v>
      </c>
    </row>
    <row r="25" spans="1:5" x14ac:dyDescent="0.2">
      <c r="A25" t="s">
        <v>100</v>
      </c>
      <c r="B25" s="5">
        <f>'Ratios &amp; Analysis'!C8</f>
        <v>8.2146733678158446E-2</v>
      </c>
      <c r="C25" s="43">
        <f>'Ratios &amp; Analysis'!B8</f>
        <v>7.3145662105810305E-2</v>
      </c>
      <c r="D25" s="56"/>
    </row>
    <row r="26" spans="1:5" ht="19" x14ac:dyDescent="0.25">
      <c r="A26" t="s">
        <v>105</v>
      </c>
      <c r="B26" s="9">
        <f>'Ratios &amp; Analysis'!C14</f>
        <v>2.0602043126080214</v>
      </c>
      <c r="C26" s="9">
        <f>'Ratios &amp; Analysis'!B14</f>
        <v>2.3837300129720984</v>
      </c>
      <c r="D26" s="57" t="s">
        <v>153</v>
      </c>
    </row>
    <row r="27" spans="1:5" x14ac:dyDescent="0.2">
      <c r="A27" t="s">
        <v>142</v>
      </c>
      <c r="B27" s="5">
        <f>'Ratios &amp; Analysis'!C21</f>
        <v>0.63436299138705243</v>
      </c>
      <c r="C27" s="5">
        <f>'Ratios &amp; Analysis'!B21</f>
        <v>0.66477298193237799</v>
      </c>
      <c r="D27" s="58" t="s">
        <v>154</v>
      </c>
    </row>
    <row r="28" spans="1:5" x14ac:dyDescent="0.2">
      <c r="D28" t="s">
        <v>155</v>
      </c>
    </row>
    <row r="29" spans="1:5" x14ac:dyDescent="0.2">
      <c r="D29" t="s">
        <v>156</v>
      </c>
    </row>
    <row r="30" spans="1:5" x14ac:dyDescent="0.2">
      <c r="D30" t="s">
        <v>157</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Raw Financials</vt:lpstr>
      <vt:lpstr>Income Statement</vt:lpstr>
      <vt:lpstr>Balance Sheet</vt:lpstr>
      <vt:lpstr>Cash Flow</vt:lpstr>
      <vt:lpstr>Ratios &amp; Analysis</vt:lpstr>
      <vt:lpstr>Dashboard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Zach Diekemper</cp:lastModifiedBy>
  <cp:revision/>
  <dcterms:created xsi:type="dcterms:W3CDTF">2026-08-28T01:01:39Z</dcterms:created>
  <dcterms:modified xsi:type="dcterms:W3CDTF">2026-10-23T14:59:41Z</dcterms:modified>
  <cp:category/>
  <cp:contentStatus/>
</cp:coreProperties>
</file>